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F:\1. Đang lam\CN- QLDL\Tai lieu he thong\"/>
    </mc:Choice>
  </mc:AlternateContent>
  <xr:revisionPtr revIDLastSave="0" documentId="8_{079FF7D1-FC79-46F0-AC81-06503E137F77}" xr6:coauthVersionLast="47" xr6:coauthVersionMax="47" xr10:uidLastSave="{00000000-0000-0000-0000-000000000000}"/>
  <bookViews>
    <workbookView xWindow="-120" yWindow="-120" windowWidth="38640" windowHeight="21120" xr2:uid="{00000000-000D-0000-FFFF-FFFF00000000}"/>
  </bookViews>
  <sheets>
    <sheet name="TAT CA QUAN HE" sheetId="1" r:id="rId1"/>
    <sheet name="QUAN HE 1-1" sheetId="2" r:id="rId2"/>
    <sheet name="QUAN HE N-N" sheetId="3" r:id="rId3"/>
    <sheet name="QUAN HE 1-N" sheetId="4" r:id="rId4"/>
    <sheet name="1-N SAU PHAN RA" sheetId="5" r:id="rId5"/>
    <sheet name="BANG TRUNG GIAN" sheetId="6" r:id="rId6"/>
    <sheet name="DANH MUC BANG" sheetId="7" r:id="rId7"/>
    <sheet name="LUU Y THIET KE" sheetId="8" r:id="rId8"/>
    <sheet name="CHAT BACKLOG" sheetId="9" r:id="rId9"/>
    <sheet name="TONG QUAN" sheetId="10" r:id="rId10"/>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10" l="1"/>
  <c r="B9" i="10"/>
  <c r="B8" i="10"/>
  <c r="B7" i="10"/>
  <c r="B6" i="10"/>
  <c r="B10" i="10" s="1"/>
</calcChain>
</file>

<file path=xl/sharedStrings.xml><?xml version="1.0" encoding="utf-8"?>
<sst xmlns="http://schemas.openxmlformats.org/spreadsheetml/2006/main" count="1988" uniqueCount="374">
  <si>
    <t>ERD DU LỊCH CỘNG ĐỒNG  |  TAT CA QUAN HE</t>
  </si>
  <si>
    <t>Tổng hợp 7 cột theo đúng mẫu • Gồm quan hệ khái niệm và quan hệ logic sau phân rã (đã đánh dấu riêng).</t>
  </si>
  <si>
    <t>Quy ước: 1..1 = đúng một  |  0..1 = tùy chọn một  |  0..N = tùy chọn nhiều  |  1..N = ít nhất một</t>
  </si>
  <si>
    <t>Nhóm quan hệ</t>
  </si>
  <si>
    <t>Bảng 1</t>
  </si>
  <si>
    <t>Quan hệ với elip</t>
  </si>
  <si>
    <t>Elip (tên quan hệ)</t>
  </si>
  <si>
    <t>Bảng 2</t>
  </si>
  <si>
    <t>Thuộc tính mới sinh ra từ N–N</t>
  </si>
  <si>
    <t>1–1</t>
  </si>
  <si>
    <t>USERS</t>
  </si>
  <si>
    <t>1..1</t>
  </si>
  <si>
    <t>SỞ HỮU / QUẢN LÝ</t>
  </si>
  <si>
    <t>0..1</t>
  </si>
  <si>
    <t>HOUSEHOLDS</t>
  </si>
  <si>
    <t>—</t>
  </si>
  <si>
    <t>BOOKINGS</t>
  </si>
  <si>
    <t>ĐƯỢC ĐÁNH GIÁ</t>
  </si>
  <si>
    <t>REVIEWS</t>
  </si>
  <si>
    <t>BOOKING_PROPOSALS</t>
  </si>
  <si>
    <t>ĐƯỢC CHẤP NHẬN THÀNH</t>
  </si>
  <si>
    <t>BOOKING_ROOM_ITEMS</t>
  </si>
  <si>
    <t>ĐƯỢC GHI NHẬN KẾT QUẢ</t>
  </si>
  <si>
    <t>BOOKING_ROOM_OUTCOMES</t>
  </si>
  <si>
    <t>BOOKING_SERVICE_ITEMS</t>
  </si>
  <si>
    <t>BOOKING_SERVICE_OUTCOMES</t>
  </si>
  <si>
    <t>N–N</t>
  </si>
  <si>
    <t>0..N</t>
  </si>
  <si>
    <t>ĐẶT PHÒNG</t>
  </si>
  <si>
    <t>ROOMS</t>
  </si>
  <si>
    <t>guest_count, room_name_snapshot, night_count, unit_price, line_total</t>
  </si>
  <si>
    <t>ĐẶT LỊCH TRẢI NGHIỆM</t>
  </si>
  <si>
    <t>SERVICE_SLOTS</t>
  </si>
  <si>
    <t>participant_count, quantity, pricing_type_snapshot, unit_price, line_total, is_exclusive, start_at_snapshot, end_at_snapshot, offer_snapshot</t>
  </si>
  <si>
    <t>PHÂN CÔNG SỬ DỤNG</t>
  </si>
  <si>
    <t>RESOURCES</t>
  </si>
  <si>
    <t>quantity, note</t>
  </si>
  <si>
    <t>CHỌN PHỤ PHÍ</t>
  </si>
  <si>
    <t>SERVICE_ADDONS</t>
  </si>
  <si>
    <t>quantity, addon_name_snapshot, unit_price, line_total</t>
  </si>
  <si>
    <t>ĐỀ XUẤT ĐẶT PHÒNG</t>
  </si>
  <si>
    <t>guest_count, check_in_date, check_out_date, room_name_snapshot, unit_price, night_count, line_total</t>
  </si>
  <si>
    <t>ĐỀ XUẤT LỊCH TRẢI NGHIỆM</t>
  </si>
  <si>
    <t>participant_count, quantity, start_at_snapshot, end_at_snapshot, unit_price, line_total, offer_snapshot</t>
  </si>
  <si>
    <t>GIỮ TÀI NGUYÊN</t>
  </si>
  <si>
    <t>quantity, start_at, end_at, expires_at</t>
  </si>
  <si>
    <t>ÁP DỤNG PHƯƠNG ÁN GIÁ</t>
  </si>
  <si>
    <t>SERVICE_OFFERS</t>
  </si>
  <si>
    <t>is_enabled, price_override</t>
  </si>
  <si>
    <t>GẮN HÌNH ẢNH</t>
  </si>
  <si>
    <t>MEDIA_ASSETS</t>
  </si>
  <si>
    <t>sort_order, is_cover, caption</t>
  </si>
  <si>
    <t>SERVICES</t>
  </si>
  <si>
    <t>LOCAL_PRODUCTS</t>
  </si>
  <si>
    <t>CULTURAL_ARTICLES</t>
  </si>
  <si>
    <t>1–N</t>
  </si>
  <si>
    <t>ĐẶT DỊCH VỤ</t>
  </si>
  <si>
    <t>GỬI YÊU CẦU LỊCH RIÊNG</t>
  </si>
  <si>
    <t>SCHEDULE_REQUESTS</t>
  </si>
  <si>
    <t>GỬI PHIẾU HỎI SẢN PHẨM</t>
  </si>
  <si>
    <t>PRODUCT_INQUIRIES</t>
  </si>
  <si>
    <t>VIẾT ĐÁNH GIÁ</t>
  </si>
  <si>
    <t>NHẬN THÔNG BÁO</t>
  </si>
  <si>
    <t>NOTIFICATIONS</t>
  </si>
  <si>
    <t>GỬI PHẢN ÁNH</t>
  </si>
  <si>
    <t>COMPLAINTS</t>
  </si>
  <si>
    <t>VIẾT BÀI</t>
  </si>
  <si>
    <t>USERS (Admin)</t>
  </si>
  <si>
    <t>THỰC HIỆN XÉT DUYỆT HỘ</t>
  </si>
  <si>
    <t>HOUSEHOLD_APPROVAL_HISTORY</t>
  </si>
  <si>
    <t>GHI NHẬN GIAO DỊCH</t>
  </si>
  <si>
    <t>FINANCIAL_ENTRIES</t>
  </si>
  <si>
    <t>THỰC HIỆN CHUYỂN TRẠNG THÁI</t>
  </si>
  <si>
    <t>BOOKING_STATUS_HISTORY</t>
  </si>
  <si>
    <t>XỬ LÝ PHẢN ÁNH</t>
  </si>
  <si>
    <t>USERS (chủ hộ)</t>
  </si>
  <si>
    <t>TẠO PHƯƠNG ÁN</t>
  </si>
  <si>
    <t>TẢI LÊN TỆP ẢNH</t>
  </si>
  <si>
    <t>ẨN ĐÁNH GIÁ VI PHẠM</t>
  </si>
  <si>
    <t>TẠO LỊCH CHẶN PHÒNG</t>
  </si>
  <si>
    <t>ROOM_BLOCKS</t>
  </si>
  <si>
    <t>TẠO LỊCH CHẶN TÀI NGUYÊN</t>
  </si>
  <si>
    <t>RESOURCE_BLOCKS</t>
  </si>
  <si>
    <t>QUẢN LÝ</t>
  </si>
  <si>
    <t>CUNG CẤP</t>
  </si>
  <si>
    <t>GIỚI THIỆU</t>
  </si>
  <si>
    <t>TIẾP NHẬN</t>
  </si>
  <si>
    <t>TIẾP NHẬN YÊU CẦU LỊCH RIÊNG</t>
  </si>
  <si>
    <t>GHI NHẬN THU CHI</t>
  </si>
  <si>
    <t>ĐÓNG GÓP BÀI VIẾT</t>
  </si>
  <si>
    <t>CÓ LỊCH SỬ PHÊ DUYỆT</t>
  </si>
  <si>
    <t>BỊ PHẢN ÁNH</t>
  </si>
  <si>
    <t>SERVICE_CATEGORIES</t>
  </si>
  <si>
    <t>PHÂN LOẠI</t>
  </si>
  <si>
    <t>TỔ CHỨC THEO LỊCH</t>
  </si>
  <si>
    <t>CUNG CẤP PHƯƠNG ÁN GIÁ</t>
  </si>
  <si>
    <t>CÓ TÙY CHỌN BỔ SUNG</t>
  </si>
  <si>
    <t>BỊ CHẶN BỞI</t>
  </si>
  <si>
    <t>BỊ CHẶN SỬ DỤNG</t>
  </si>
  <si>
    <t>NHẬN PHIẾU HỎI</t>
  </si>
  <si>
    <t>GHI NHẬN LỊCH SỬ TRẠNG THÁI</t>
  </si>
  <si>
    <t>1..N</t>
  </si>
  <si>
    <t>PHÁT SINH GIAO DỊCH</t>
  </si>
  <si>
    <t>CÓ THỎA THUẬN HOÀN TIỀN</t>
  </si>
  <si>
    <t>REFUND_AGREEMENTS</t>
  </si>
  <si>
    <t>LIÊN QUAN ĐẾN PHẢN ÁNH</t>
  </si>
  <si>
    <t>ĐƯỢC THỰC HIỆN BẰNG GIAO DỊCH HOÀN</t>
  </si>
  <si>
    <t>ĐƯỢC LẬP PHƯƠNG ÁN</t>
  </si>
  <si>
    <t>ĐƯỢC ĐỀ XUẤT TRONG PHƯƠNG ÁN</t>
  </si>
  <si>
    <t>PROPOSAL_SERVICE_ITEMS</t>
  </si>
  <si>
    <t>CÓ PHIÊN BẢN CHỈNH SỬA</t>
  </si>
  <si>
    <t>HOUSEHOLD_REVISIONS</t>
  </si>
  <si>
    <t>ROOM_REVISIONS</t>
  </si>
  <si>
    <t>SERVICE_REVISIONS</t>
  </si>
  <si>
    <t>PRODUCT_REVISIONS</t>
  </si>
  <si>
    <t>ARTICLE_REVISIONS</t>
  </si>
  <si>
    <t>GỬI PHIÊN BẢN HỘ</t>
  </si>
  <si>
    <t>GỬI PHIÊN BẢN PHÒNG</t>
  </si>
  <si>
    <t>GỬI PHIÊN BẢN DỊCH VỤ</t>
  </si>
  <si>
    <t>GỬI PHIÊN BẢN SẢN PHẨM</t>
  </si>
  <si>
    <t>GỬI PHIÊN BẢN BÀI VIẾT</t>
  </si>
  <si>
    <t>KIỂM DUYỆT PHIÊN BẢN HỘ</t>
  </si>
  <si>
    <t>KIỂM DUYỆT PHIÊN BẢN PHÒNG</t>
  </si>
  <si>
    <t>KIỂM DUYỆT PHIÊN BẢN DỊCH VỤ</t>
  </si>
  <si>
    <t>KIỂM DUYỆT PHIÊN BẢN SẢN PHẨM</t>
  </si>
  <si>
    <t>KIỂM DUYỆT PHIÊN BẢN BÀI VIẾT</t>
  </si>
  <si>
    <t>1–N sau phân rã</t>
  </si>
  <si>
    <t>CÓ HẠNG MỤC PHÒNG</t>
  </si>
  <si>
    <t>ĐƯỢC ĐẶT TRONG</t>
  </si>
  <si>
    <t>CÓ HẠNG MỤC TRẢI NGHIỆM</t>
  </si>
  <si>
    <t>ĐƯỢC LỰA CHỌN TRONG</t>
  </si>
  <si>
    <t>ĐƯỢC PHÂN CÔNG</t>
  </si>
  <si>
    <t>SLOT_RESOURCE_ASSIGNMENTS</t>
  </si>
  <si>
    <t>ĐƯỢC PHÂN VÀO LỊCH</t>
  </si>
  <si>
    <t>CÓ PHỤ PHÍ ĐƯỢC CHỌN</t>
  </si>
  <si>
    <t>BOOKING_SERVICE_ADDONS</t>
  </si>
  <si>
    <t>ĐƯỢC CHỌN TRONG</t>
  </si>
  <si>
    <t>ĐỀ XUẤT PHÒNG</t>
  </si>
  <si>
    <t>PROPOSAL_ROOM_ITEMS</t>
  </si>
  <si>
    <t>ĐƯỢC ĐỀ XUẤT TRONG</t>
  </si>
  <si>
    <t>ĐƯỢC CHỌN CHO PHƯƠNG ÁN</t>
  </si>
  <si>
    <t>PROPOSAL_RESOURCE_HOLDS</t>
  </si>
  <si>
    <t>ĐƯỢC GIỮ CHO PHƯƠNG ÁN</t>
  </si>
  <si>
    <t>CÓ PHƯƠNG ÁN GIÁ ÁP DỤNG</t>
  </si>
  <si>
    <t>SLOT_OFFERS</t>
  </si>
  <si>
    <t>ĐƯỢC ÁP DỤNG TẠI LỊCH</t>
  </si>
  <si>
    <t>CÓ LIÊN KẾT ẢNH</t>
  </si>
  <si>
    <t>HOUSEHOLD_MEDIA</t>
  </si>
  <si>
    <t>ĐƯỢC GẮN VÀO HỘ</t>
  </si>
  <si>
    <t>ROOM_MEDIA</t>
  </si>
  <si>
    <t>ĐƯỢC GẮN VÀO PHÒNG</t>
  </si>
  <si>
    <t>SERVICE_MEDIA</t>
  </si>
  <si>
    <t>ĐƯỢC GẮN VÀO DỊCH VỤ</t>
  </si>
  <si>
    <t>PRODUCT_MEDIA</t>
  </si>
  <si>
    <t>ĐƯỢC GẮN VÀO SẢN PHẨM</t>
  </si>
  <si>
    <t>ARTICLE_MEDIA</t>
  </si>
  <si>
    <t>ĐƯỢC GẮN VÀO BÀI VIẾT</t>
  </si>
  <si>
    <t>ERD DU LỊCH CỘNG ĐỒNG  |  QUAN HE 1-1</t>
  </si>
  <si>
    <t>Các quan hệ một–một, bao gồm mối liên hệ tùy chọn 0..1.</t>
  </si>
  <si>
    <t>ERD DU LỊCH CỘNG ĐỒNG  |  QUAN HE N-N</t>
  </si>
  <si>
    <t>Quan hệ nhiều–nhiều khái niệm; thuộc tính cột cuối chuyển vào bảng trung gian khi triển khai SQL.</t>
  </si>
  <si>
    <t>ERD DU LỊCH CỘNG ĐỒNG  |  QUAN HE 1-N</t>
  </si>
  <si>
    <t>Các quan hệ một–nhiều độc lập, bao gồm phân quyền, hộ dân, nghiệp vụ, và phiên bản nội dung.</t>
  </si>
  <si>
    <t>ERD DU LỊCH CỘNG ĐỒNG  |  1-N SAU PHAN RA</t>
  </si>
  <si>
    <t>Chỉ dùng trong ERD logic thay cho N–N khái niệm; không vẽ đồng thời cả hai.</t>
  </si>
  <si>
    <t>DANH SÁCH BẢNG TRUNG GIAN N–N</t>
  </si>
  <si>
    <t>13 quan hệ N–N (bao gồm 5 nhóm ảnh tùy chọn), bảng trung gian và thuộc tính phát sinh.</t>
  </si>
  <si>
    <t>STT</t>
  </si>
  <si>
    <t>Thực thể A</t>
  </si>
  <si>
    <t>Tên quan hệ</t>
  </si>
  <si>
    <t>Thực thể B</t>
  </si>
  <si>
    <t>Bảng trung gian</t>
  </si>
  <si>
    <t>Thuộc tính của quan hệ</t>
  </si>
  <si>
    <t>Phạm vi</t>
  </si>
  <si>
    <t>Ghi chú thực hiện</t>
  </si>
  <si>
    <t>Cốt lõi</t>
  </si>
  <si>
    <t>Bắt buộc booking có ít nhất một hạng mục phòng hoặc trải nghiệm</t>
  </si>
  <si>
    <t>Dòng booking chọn offer phù hợp; kiểm tra sức chứa và tính độc quyền</t>
  </si>
  <si>
    <t>Mở rộng</t>
  </si>
  <si>
    <t>Không phân bổ chồng giờ vượt số đơn vị khả dụng</t>
  </si>
  <si>
    <t>Phụ phí có tài nguyên khan hiếm phải kiểm tra khả dụng riêng</t>
  </si>
  <si>
    <t>Lịch theo yêu cầu</t>
  </si>
  <si>
    <t>Chưa chuyển thành booking cho tới khi khách chấp nhận</t>
  </si>
  <si>
    <t>Cần service_id bắt buộc; service_slot_id có thể NULL khi đề xuất lịch mới</t>
  </si>
  <si>
    <t>Có điều kiện</t>
  </si>
  <si>
    <t>Chỉ giữ trực tiếp khi chưa được giữ bởi slot; tránh đếm trùng</t>
  </si>
  <si>
    <t>Tùy chọn</t>
  </si>
  <si>
    <t>Chỉ dùng khi bật/tắt hoặc ghi đè giá theo từng slot</t>
  </si>
  <si>
    <t>Tùy chọn ảnh</t>
  </si>
  <si>
    <t>Chỉ khi cho phép tái sử dụng ảnh giữa nhiều nội dung</t>
  </si>
  <si>
    <t>DANH MỤC CÁC BẢNG / THỰC THỂ</t>
  </si>
  <si>
    <t>Danh mục suy ra từ toàn bộ bảng quan hệ chính, bao gồm bảng mở rộng và tùy chọn. Không bao gồm nhóm chat backlog.</t>
  </si>
  <si>
    <t>Tên bảng</t>
  </si>
  <si>
    <t>Nhóm nghiệp vụ</t>
  </si>
  <si>
    <t>Vai trò</t>
  </si>
  <si>
    <t>Hình ảnh</t>
  </si>
  <si>
    <t>Bảng liên kết / dữ liệu nghiệp vụ</t>
  </si>
  <si>
    <t>Tùy chọn mô hình ảnh</t>
  </si>
  <si>
    <t>Kiểm duyệt / Nội dung</t>
  </si>
  <si>
    <t>Đề xuất</t>
  </si>
  <si>
    <t>Booking / Đánh giá</t>
  </si>
  <si>
    <t>Đơn đặt dịch vụ/lưu trú</t>
  </si>
  <si>
    <t>Cốt lõi / nghiệp vụ</t>
  </si>
  <si>
    <t>Lịch riêng / Phương án</t>
  </si>
  <si>
    <t>Phương án lịch riêng</t>
  </si>
  <si>
    <t>Mở rộng theo plan</t>
  </si>
  <si>
    <t>Dòng phòng trong booking</t>
  </si>
  <si>
    <t>Kết quả phục vụ từng phòng</t>
  </si>
  <si>
    <t>Dòng phụ phí đã chọn</t>
  </si>
  <si>
    <t>Dòng lịch trải nghiệm trong booking</t>
  </si>
  <si>
    <t>Kết quả phục vụ từng trải nghiệm</t>
  </si>
  <si>
    <t>Lịch sử trạng thái booking</t>
  </si>
  <si>
    <t>Nội dung / Dịch vụ</t>
  </si>
  <si>
    <t>Phản ánh và xử lý</t>
  </si>
  <si>
    <t>Bài viết văn hóa</t>
  </si>
  <si>
    <t>Tài chính</t>
  </si>
  <si>
    <t>Sổ tiền thủ công</t>
  </si>
  <si>
    <t>Tài khoản / Hộ</t>
  </si>
  <si>
    <t>Hồ sơ hộ dân</t>
  </si>
  <si>
    <t>Lịch sử xét duyệt hộ</t>
  </si>
  <si>
    <t>Giới thiệu sản phẩm địa phương</t>
  </si>
  <si>
    <t>Ảnh/tệp trên Cloudinary</t>
  </si>
  <si>
    <t>Thông báo trong ứng dụng</t>
  </si>
  <si>
    <t>Phiếu hỏi sản phẩm</t>
  </si>
  <si>
    <t>Giữ tài nguyên trực tiếp cho phương án</t>
  </si>
  <si>
    <t>Dòng phòng trong báo giá</t>
  </si>
  <si>
    <t>Dòng dịch vụ trong báo giá</t>
  </si>
  <si>
    <t>Khoản hoàn đã thống nhất</t>
  </si>
  <si>
    <t>Khả dụng / Tài nguyên</t>
  </si>
  <si>
    <t>Tài nguyên phục vụ</t>
  </si>
  <si>
    <t>Lịch chặn tài nguyên</t>
  </si>
  <si>
    <t>Đánh giá tổng thể booking</t>
  </si>
  <si>
    <t>Phòng lưu trú thực tế</t>
  </si>
  <si>
    <t>Lịch chặn phòng</t>
  </si>
  <si>
    <t>Yêu cầu lịch riêng của khách</t>
  </si>
  <si>
    <t>Dịch vụ/trải nghiệm</t>
  </si>
  <si>
    <t>Phụ phí tùy chọn</t>
  </si>
  <si>
    <t>Danh mục trải nghiệm</t>
  </si>
  <si>
    <t>Phương án giá/thuê</t>
  </si>
  <si>
    <t>Lịch tổ chức trải nghiệm</t>
  </si>
  <si>
    <t>Phương án giá theo lịch (tùy chọn)</t>
  </si>
  <si>
    <t>Phân công tài nguyên cho lịch</t>
  </si>
  <si>
    <t>Tài khoản và phân quyền</t>
  </si>
  <si>
    <t>QUY TẮC, NGOẠI LỆ VÀ CÁC ĐIỂM CẦN CHỐT</t>
  </si>
  <si>
    <t>Những ràng buộc không thể hiện chỉ qua bội số 1..1 / 0..1 / 0..N, và những lựa chọn thiết kế chưa được chốt.</t>
  </si>
  <si>
    <t>Mã</t>
  </si>
  <si>
    <t>Chủ đề</t>
  </si>
  <si>
    <t>Nội dung / quy tắc</t>
  </si>
  <si>
    <t>Mức áp dụng</t>
  </si>
  <si>
    <t>KT-01</t>
  </si>
  <si>
    <t>Quy ước bội số</t>
  </si>
  <si>
    <t>1..1 = đúng một; 0..1 = tùy chọn tối đa một; 0..N = tùy chọn nhiều; 1..N = ít nhất một.</t>
  </si>
  <si>
    <t>Áp dụng chung</t>
  </si>
  <si>
    <t>KT-02</t>
  </si>
  <si>
    <t>Cách đọc</t>
  </si>
  <si>
    <t>Giá trị ngay cạnh Bảng 1 cho biết một bản ghi Bảng 2 liên hệ bao nhiêu bản ghi Bảng 1, và ngược lại.</t>
  </si>
  <si>
    <t>KT-03</t>
  </si>
  <si>
    <t>1–1 Proposal–Booking</t>
  </si>
  <si>
    <t>0..1 cả hai đầu: nhiều booking không từ proposal và nhiều proposal không được chấp nhận.</t>
  </si>
  <si>
    <t>Đã sửa</t>
  </si>
  <si>
    <t>KT-04</t>
  </si>
  <si>
    <t>Tách hai cấp ERD</t>
  </si>
  <si>
    <t>ERD khái niệm sử dụng N–N. ERD logic sử dụng các quan hệ 1–N sau phân rã. Không vẽ cả hai biểu diễn của một nghiệp vụ trong cùng sơ đồ.</t>
  </si>
  <si>
    <t>Bắt buộc</t>
  </si>
  <si>
    <t>KT-05</t>
  </si>
  <si>
    <t>Booking không rỗng</t>
  </si>
  <si>
    <t>Mỗi booking có ít nhất một hạng mục phòng hoặc lịch trải nghiệm; không bắt buộc có cả hai.</t>
  </si>
  <si>
    <t>KT-06</t>
  </si>
  <si>
    <t>Hộ không có phòng</t>
  </si>
  <si>
    <t>Một hộ có thể không có phòng nhưng có dịch vụ trải nghiệm và nhận đặt bình thường.</t>
  </si>
  <si>
    <t>KT-07</t>
  </si>
  <si>
    <t>Một booking – một hộ</t>
  </si>
  <si>
    <t>Phòng và lịch trải nghiệm trong cùng booking phải thuộc cùng household_id.</t>
  </si>
  <si>
    <t>KT-08</t>
  </si>
  <si>
    <t>Tính giá và sức chứa</t>
  </si>
  <si>
    <t>participant_count khác quantity. Giá nhóm/gói vẫn chiếm đúng số người tham gia.</t>
  </si>
  <si>
    <t>KT-09</t>
  </si>
  <si>
    <t>Snapshot giá</t>
  </si>
  <si>
    <t>Dòng booking phải giữ giá, thời gian, tên và điều kiện tại thời điểm đặt, không phụ thuộc nội dung hiện tại.</t>
  </si>
  <si>
    <t>KT-10</t>
  </si>
  <si>
    <t>Giữ chỗ</t>
  </si>
  <si>
    <t>Tính booking PENDING còn hạn, CONFIRMED, giữ chỗ proposal còn hạn và booking nhập ngoài app. Hết hạn không chiếm chỗ dù cron chưa chạy.</t>
  </si>
  <si>
    <t>Bắt buộc nếu làm proposal</t>
  </si>
  <si>
    <t>KT-11</t>
  </si>
  <si>
    <t>Tài nguyên chung</t>
  </si>
  <si>
    <t>Không được đếm đôi tài nguyên đã phân cho ServiceSlot và proposal hold cùng chuyến; cần transaction kiểm tra trùng giờ.</t>
  </si>
  <si>
    <t>Bắt buộc nếu làm Resource</t>
  </si>
  <si>
    <t>KT-12</t>
  </si>
  <si>
    <t>ServiceOffer</t>
  </si>
  <si>
    <t>Offer phải thuộc cùng Service với slot. Quan hệ slot_offers chỉ cần nếu điều chỉnh theo slot.</t>
  </si>
  <si>
    <t>KT-13</t>
  </si>
  <si>
    <t>Lịch riêng</t>
  </si>
  <si>
    <t>proposal_service_items.service_id bắt buộc; service_slot_id có thể NULL khi hộ mới đề xuất lịch.</t>
  </si>
  <si>
    <t>KT-14</t>
  </si>
  <si>
    <t>Đánh giá</t>
  </si>
  <si>
    <t>Mỗi booking đủ điều kiện có tối đa một đánh giá tổng thể; booking ngoài app/hủy không phát sinh quyền review theo luồng hiện tại.</t>
  </si>
  <si>
    <t>KT-15</t>
  </si>
  <si>
    <t>Hoàn tiền</t>
  </si>
  <si>
    <t>Khoản hoàn đã thống nhất tách khoản thực hoàn; financial_entries tham chiếu refund_agreements tùy chọn chỉ với loại REFUND.</t>
  </si>
  <si>
    <t>KT-16</t>
  </si>
  <si>
    <t>Kết quả phục vụ</t>
  </si>
  <si>
    <t>Chọn hai bảng BOOKING_ROOM_OUTCOMES và BOOKING_SERVICE_OUTCOMES thay cho BOOKING_ITEM_OUTCOMES đa hình.</t>
  </si>
  <si>
    <t>Đề xuất thiết kế</t>
  </si>
  <si>
    <t>KT-17</t>
  </si>
  <si>
    <t>Kiểm duyệt</t>
  </si>
  <si>
    <t>Sử dụng 5 bảng revisions riêng thay CONTENT_REVISIONS đa hình để bảo đảm FK tới từng thực thể nội dung.</t>
  </si>
  <si>
    <t>KT-18</t>
  </si>
  <si>
    <t>Ảnh nội dung</t>
  </si>
  <si>
    <t>5 quan hệ N–N ảnh chỉ cần khi ảnh có thể gắn nhiều nơi. Nếu mỗi ảnh thuộc đúng một nội dung, chuyển sang mô hình 1–N.</t>
  </si>
  <si>
    <t>KT-19</t>
  </si>
  <si>
    <t>Vòng đời dữ liệu</t>
  </si>
  <si>
    <t>Không xóa cứng booking, bút toán, nội dung đã tham chiếu; có lịch sử trạng thái, người thao tác, thời điểm.</t>
  </si>
  <si>
    <t>KT-20</t>
  </si>
  <si>
    <t>Time zone</t>
  </si>
  <si>
    <t>DATETIME lưu UTC; DATE lưu ngày VN theo Asia/Ho_Chi_Minh; phòng đặt theo ngày không tính bằng khoảng giờ dịch vụ.</t>
  </si>
  <si>
    <t>KT-21</t>
  </si>
  <si>
    <t>Phân quyền</t>
  </si>
  <si>
    <t>Chỉ chủ hộ sở hữu mới cập nhật dữ liệu và booking hộ mình; Admin kiểm duyệt, không trực tiếp thu/hoàn thay hộ.</t>
  </si>
  <si>
    <t>KT-22</t>
  </si>
  <si>
    <t>Chat realtime</t>
  </si>
  <si>
    <t>Có task Jira riêng nhưng plan hiện tại loại chat khỏi MVP. Các quan hệ chat chỉ có trong sheet CHAT BACKLOG để tham khảo.</t>
  </si>
  <si>
    <t>Ngoài MVP</t>
  </si>
  <si>
    <t>KT-23</t>
  </si>
  <si>
    <t>Quy ước ảnh/phiên bản</t>
  </si>
  <si>
    <t>Không triển khai đồng thời CONTENT_REVISIONS đa hình và năm bảng *_REVISIONS. Workbook chọn mô hình phiên bản riêng.</t>
  </si>
  <si>
    <t>KT-24</t>
  </si>
  <si>
    <t>Ràng buộc lịch</t>
  </si>
  <si>
    <t>Khả dụng phòng/slot/tài nguyên không suy ra chỉ từ bội số; phải được tính lại và khóa dữ liệu trong transaction chống đặt vượt.</t>
  </si>
  <si>
    <t>ERD DU LỊCH CỘNG ĐỒNG  |  CHAT BACKLOG</t>
  </si>
  <si>
    <t>Tham khảo cho task chat realtime riêng; KHÔNG tính vào 101 quan hệ của thiết kế MVP hiện tại.</t>
  </si>
  <si>
    <t>CHAT – BACKLOG</t>
  </si>
  <si>
    <t>THAM GIA</t>
  </si>
  <si>
    <t>2..N</t>
  </si>
  <si>
    <t>CONVERSATIONS</t>
  </si>
  <si>
    <t>joined_at, last_read_at, role_in_conversation</t>
  </si>
  <si>
    <t>CHỨA TIN NHẮN</t>
  </si>
  <si>
    <t>MESSAGES</t>
  </si>
  <si>
    <t>GỬI TIN NHẮN</t>
  </si>
  <si>
    <t>CÓ TỆP ĐÍNH KÈM</t>
  </si>
  <si>
    <t>MESSAGE_ATTACHMENTS</t>
  </si>
  <si>
    <t>THAM GIA HỘI THOẠI VỚI KHÁCH</t>
  </si>
  <si>
    <t>ĐƯỢC LIÊN KẾT TRONG HỘI THOẠI</t>
  </si>
  <si>
    <t>ĐƯỢC NHẮC ĐẾN TRONG HỘI THOẠI</t>
  </si>
  <si>
    <t>SƠ ĐỒ QUAN HỆ DỮ LIỆU  |  DU LỊCH CỘNG ĐỒNG</t>
  </si>
  <si>
    <t>Bộ Excel quan hệ theo mẫu 7 cột, phục vụ ERD khái niệm, ERD logic và phân tích database MySQL/Prisma.</t>
  </si>
  <si>
    <t>Chỉ tiêu</t>
  </si>
  <si>
    <t>Số dòng</t>
  </si>
  <si>
    <t>Ghi chú</t>
  </si>
  <si>
    <t>Người dùng–hộ, booking–review, proposal–booking, kết quả phục vụ</t>
  </si>
  <si>
    <t>N–N + thuộc tính quan hệ; chuyển thành bảng nối khi triển khai SQL</t>
  </si>
  <si>
    <t>1–N độc lập</t>
  </si>
  <si>
    <t>Không tính các đường nối sinh ra do phân rã</t>
  </si>
  <si>
    <t>Chỉ để vẽ ERD logic, không vẽ đè N–N</t>
  </si>
  <si>
    <t>Tổng quan hệ</t>
  </si>
  <si>
    <t>Tổng các quan hệ trong bảng 7 cột chính</t>
  </si>
  <si>
    <t>Danh mục bảng</t>
  </si>
  <si>
    <t>Kể cả bảng tùy chọn/mở rộng; không tính chat</t>
  </si>
  <si>
    <t>HƯỚNG DẪN SỬ DỤNG</t>
  </si>
  <si>
    <t>TAT CA QUAN HE</t>
  </si>
  <si>
    <t>101 dòng, đúng 7 cột như bảng bạn gửi; có bộ lọc từng nhóm.</t>
  </si>
  <si>
    <t>QUAN HE 1-1 / N-N / 1-N</t>
  </si>
  <si>
    <t>Xem theo từng loại để vẽ ERD khái niệm.</t>
  </si>
  <si>
    <t>1-N SAU PHAN RA</t>
  </si>
  <si>
    <t>Chỉ dùng trong ERD logic, sau khi đổi quan hệ N–N thành bảng trung gian.</t>
  </si>
  <si>
    <t>BANG TRUNG GIAN</t>
  </si>
  <si>
    <t>Tên các bảng được tạo từ N–N và thuộc tính thuộc về quan hệ.</t>
  </si>
  <si>
    <t>DANH MUC BANG</t>
  </si>
  <si>
    <t>Danh sách các thực thể/bảng đã xuất hiện trong thiết kế.</t>
  </si>
  <si>
    <t>LUU Y THIET KE</t>
  </si>
  <si>
    <t>Các ràng buộc nghiệp vụ, chú ý và điểm tùy chọn.</t>
  </si>
  <si>
    <t>CHAT BACKLOG</t>
  </si>
  <si>
    <t>Quan hệ chat tham khảo, tách khỏi MVP chính.</t>
  </si>
  <si>
    <t>CẢNH BÁO: Không ghép đồng thời N–N và 1–N sau phân rã vào một ERD, vì như vậy sẽ lặp quan hệ.</t>
  </si>
  <si>
    <t>Quan hệ với elip2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</si>
</sst>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name val="Carlito"/>
    </font>
    <font>
      <b/>
      <sz val="14"/>
      <color rgb="FFFFFFFF"/>
      <name val="Carlito"/>
    </font>
    <font>
      <sz val="10"/>
      <color rgb="FF203244"/>
      <name val="Carlito"/>
    </font>
    <font>
      <sz val="10"/>
      <color rgb="FF61758A"/>
      <name val="Carlito"/>
    </font>
    <font>
      <b/>
      <sz val="10"/>
      <color rgb="FF137E86"/>
      <name val="Carlito"/>
    </font>
    <font>
      <b/>
      <sz val="10"/>
      <color rgb="FF17324D"/>
      <name val="Carlito"/>
    </font>
    <font>
      <b/>
      <sz val="10"/>
      <color rgb="FF203244"/>
      <name val="Carlito"/>
    </font>
    <font>
      <b/>
      <sz val="10"/>
      <color rgb="FFFFFFFF"/>
      <name val="Carlito"/>
    </font>
    <font>
      <b/>
      <sz val="16"/>
      <color rgb="FFFFFFFF"/>
      <name val="Carlito"/>
    </font>
    <font>
      <sz val="11"/>
      <color rgb="FF203244"/>
      <name val="Carlito"/>
    </font>
    <font>
      <b/>
      <sz val="11"/>
      <color rgb="FFFFFFFF"/>
      <name val="Carlito"/>
    </font>
    <font>
      <b/>
      <sz val="14"/>
      <color rgb="FF137E86"/>
      <name val="Carlito"/>
    </font>
    <font>
      <b/>
      <sz val="11"/>
      <color rgb="FF865100"/>
      <name val="Carlito"/>
    </font>
  </fonts>
  <fills count="9">
    <fill>
      <patternFill patternType="none"/>
    </fill>
    <fill>
      <patternFill patternType="gray125"/>
    </fill>
    <fill>
      <patternFill patternType="solid">
        <fgColor rgb="FF17324D"/>
      </patternFill>
    </fill>
    <fill>
      <patternFill patternType="solid">
        <fgColor rgb="FFEDF6FA"/>
      </patternFill>
    </fill>
    <fill>
      <patternFill patternType="solid">
        <fgColor rgb="FFEAF6F1"/>
      </patternFill>
    </fill>
    <fill>
      <patternFill patternType="solid">
        <fgColor rgb="FFFFF4E5"/>
      </patternFill>
    </fill>
    <fill>
      <patternFill patternType="solid">
        <fgColor rgb="FFEEF5FE"/>
      </patternFill>
    </fill>
    <fill>
      <patternFill patternType="solid">
        <fgColor rgb="FFF0EDFA"/>
      </patternFill>
    </fill>
    <fill>
      <patternFill patternType="solid">
        <fgColor rgb="FF137E86"/>
      </patternFill>
    </fill>
  </fills>
  <borders count="1">
    <border>
      <left/>
      <right/>
      <top/>
      <bottom/>
      <diagonal/>
    </border>
  </borders>
  <cellStyleXfs count="1">
    <xf numFmtId="0" fontId="0" fillId="0" borderId="0"/>
  </cellStyleXfs>
  <cellXfs count="23">
    <xf numFmtId="0" fontId="0" fillId="0" borderId="0" xfId="0"/>
    <xf numFmtId="0" fontId="2" fillId="3" borderId="0" xfId="0" applyFont="1" applyFill="1" applyAlignment="1">
      <alignment vertical="center" wrapText="1"/>
    </xf>
    <xf numFmtId="0" fontId="2" fillId="0" borderId="0" xfId="0" applyFont="1" applyAlignment="1">
      <alignment vertical="center" wrapText="1"/>
    </xf>
    <xf numFmtId="0" fontId="2" fillId="4" borderId="0" xfId="0" applyFont="1" applyFill="1" applyAlignment="1">
      <alignment vertical="center" wrapText="1"/>
    </xf>
    <xf numFmtId="0" fontId="2" fillId="5" borderId="0" xfId="0" applyFont="1" applyFill="1" applyAlignment="1">
      <alignment vertical="center" wrapText="1"/>
    </xf>
    <xf numFmtId="0" fontId="2" fillId="6" borderId="0" xfId="0" applyFont="1" applyFill="1" applyAlignment="1">
      <alignment vertical="center" wrapText="1"/>
    </xf>
    <xf numFmtId="0" fontId="2" fillId="7" borderId="0" xfId="0" applyFont="1" applyFill="1" applyAlignment="1">
      <alignment vertical="center" wrapText="1"/>
    </xf>
    <xf numFmtId="0" fontId="4" fillId="0" borderId="0" xfId="0" applyFont="1" applyAlignment="1">
      <alignment horizontal="center" vertical="center" wrapText="1"/>
    </xf>
    <xf numFmtId="0" fontId="5" fillId="0" borderId="0" xfId="0" applyFont="1" applyAlignment="1">
      <alignment vertical="center" wrapText="1"/>
    </xf>
    <xf numFmtId="0" fontId="6" fillId="0" borderId="0" xfId="0" applyFont="1" applyAlignment="1">
      <alignment vertical="center" wrapText="1"/>
    </xf>
    <xf numFmtId="0" fontId="7" fillId="8" borderId="0" xfId="0" applyFont="1" applyFill="1" applyAlignment="1">
      <alignment wrapText="1"/>
    </xf>
    <xf numFmtId="0" fontId="7" fillId="8" borderId="0" xfId="0" applyFont="1" applyFill="1" applyAlignment="1">
      <alignment vertical="center" wrapText="1"/>
    </xf>
    <xf numFmtId="0" fontId="10" fillId="8" borderId="0" xfId="0" applyFont="1" applyFill="1"/>
    <xf numFmtId="0" fontId="11" fillId="3" borderId="0" xfId="0" applyFont="1" applyFill="1" applyAlignment="1">
      <alignment horizontal="center" vertical="center" wrapText="1"/>
    </xf>
    <xf numFmtId="0" fontId="1" fillId="2" borderId="0" xfId="0" applyFont="1" applyFill="1" applyAlignment="1">
      <alignment vertical="center"/>
    </xf>
    <xf numFmtId="0" fontId="2" fillId="3" borderId="0" xfId="0" applyFont="1" applyFill="1" applyAlignment="1">
      <alignment vertical="center" wrapText="1"/>
    </xf>
    <xf numFmtId="0" fontId="3" fillId="0" borderId="0" xfId="0" applyFont="1" applyAlignment="1">
      <alignment vertical="center"/>
    </xf>
    <xf numFmtId="0" fontId="1" fillId="2" borderId="0" xfId="0" applyFont="1" applyFill="1"/>
    <xf numFmtId="0" fontId="2" fillId="3" borderId="0" xfId="0" applyFont="1" applyFill="1" applyAlignment="1">
      <alignment wrapText="1"/>
    </xf>
    <xf numFmtId="0" fontId="8" fillId="2" borderId="0" xfId="0" applyFont="1" applyFill="1" applyAlignment="1">
      <alignment vertical="center"/>
    </xf>
    <xf numFmtId="0" fontId="9" fillId="3" borderId="0" xfId="0" applyFont="1" applyFill="1" applyAlignment="1">
      <alignment vertical="center"/>
    </xf>
    <xf numFmtId="0" fontId="10" fillId="8" borderId="0" xfId="0" applyFont="1" applyFill="1"/>
    <xf numFmtId="0" fontId="12" fillId="5"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ongHopQuanHe" displayName="TongHopQuanHe" ref="A5:G106" totalsRowShown="0">
  <tableColumns count="7">
    <tableColumn id="1" xr3:uid="{00000000-0010-0000-0000-000001000000}" name="Nhóm quan hệ"/>
    <tableColumn id="2" xr3:uid="{00000000-0010-0000-0000-000002000000}" name="Bảng 1"/>
    <tableColumn id="3" xr3:uid="{00000000-0010-0000-0000-000003000000}" name="Quan hệ với elip"/>
    <tableColumn id="4" xr3:uid="{00000000-0010-0000-0000-000004000000}" name="Elip (tên quan hệ)"/>
    <tableColumn id="5" xr3:uid="{00000000-0010-0000-0000-000005000000}" name="Quan hệ với elip2"/>
    <tableColumn id="6" xr3:uid="{00000000-0010-0000-0000-000006000000}" name="Bảng 2"/>
    <tableColumn id="7" xr3:uid="{00000000-0010-0000-0000-000007000000}" name="Thuộc tính mới sinh ra từ N–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ERD_11" displayName="ERD_11" ref="A5:G10" totalsRowShown="0">
  <tableColumns count="7">
    <tableColumn id="1" xr3:uid="{00000000-0010-0000-0100-000001000000}" name="Nhóm quan hệ"/>
    <tableColumn id="2" xr3:uid="{00000000-0010-0000-0100-000002000000}" name="Bảng 1"/>
    <tableColumn id="3" xr3:uid="{00000000-0010-0000-0100-000003000000}" name="Quan hệ với elip"/>
    <tableColumn id="4" xr3:uid="{00000000-0010-0000-0100-000004000000}" name="Elip (tên quan hệ)"/>
    <tableColumn id="5" xr3:uid="{00000000-0010-0000-0100-000005000000}" name="Quan hệ với elip2"/>
    <tableColumn id="6" xr3:uid="{00000000-0010-0000-0100-000006000000}" name="Bảng 2"/>
    <tableColumn id="7" xr3:uid="{00000000-0010-0000-0100-000007000000}" name="Thuộc tính mới sinh ra từ N–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RD_NN" displayName="ERD_NN" ref="A5:G18" totalsRowShown="0">
  <tableColumns count="7">
    <tableColumn id="1" xr3:uid="{00000000-0010-0000-0200-000001000000}" name="Nhóm quan hệ"/>
    <tableColumn id="2" xr3:uid="{00000000-0010-0000-0200-000002000000}" name="Bảng 1"/>
    <tableColumn id="3" xr3:uid="{00000000-0010-0000-0200-000003000000}" name="Quan hệ với elip"/>
    <tableColumn id="4" xr3:uid="{00000000-0010-0000-0200-000004000000}" name="Elip (tên quan hệ)"/>
    <tableColumn id="5" xr3:uid="{00000000-0010-0000-0200-000005000000}" name="Quan hệ với elip2"/>
    <tableColumn id="6" xr3:uid="{00000000-0010-0000-0200-000006000000}" name="Bảng 2"/>
    <tableColumn id="7" xr3:uid="{00000000-0010-0000-0200-000007000000}" name="Thuộc tính mới sinh ra từ N–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ERD_1N" displayName="ERD_1N" ref="A5:G60" totalsRowShown="0">
  <tableColumns count="7">
    <tableColumn id="1" xr3:uid="{00000000-0010-0000-0300-000001000000}" name="Nhóm quan hệ"/>
    <tableColumn id="2" xr3:uid="{00000000-0010-0000-0300-000002000000}" name="Bảng 1"/>
    <tableColumn id="3" xr3:uid="{00000000-0010-0000-0300-000003000000}" name="Quan hệ với elip"/>
    <tableColumn id="4" xr3:uid="{00000000-0010-0000-0300-000004000000}" name="Elip (tên quan hệ)"/>
    <tableColumn id="5" xr3:uid="{00000000-0010-0000-0300-000005000000}" name="Quan hệ với elip2"/>
    <tableColumn id="6" xr3:uid="{00000000-0010-0000-0300-000006000000}" name="Bảng 2"/>
    <tableColumn id="7" xr3:uid="{00000000-0010-0000-0300-000007000000}" name="Thuộc tính mới sinh ra từ N–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ERD_SauPhanRa" displayName="ERD_SauPhanRa" ref="A5:G33" totalsRowShown="0">
  <tableColumns count="7">
    <tableColumn id="1" xr3:uid="{00000000-0010-0000-0400-000001000000}" name="Nhóm quan hệ"/>
    <tableColumn id="2" xr3:uid="{00000000-0010-0000-0400-000002000000}" name="Bảng 1"/>
    <tableColumn id="3" xr3:uid="{00000000-0010-0000-0400-000003000000}" name="Quan hệ với elip"/>
    <tableColumn id="4" xr3:uid="{00000000-0010-0000-0400-000004000000}" name="Elip (tên quan hệ)"/>
    <tableColumn id="5" xr3:uid="{00000000-0010-0000-0400-000005000000}" name="Quan hệ với elip2"/>
    <tableColumn id="6" xr3:uid="{00000000-0010-0000-0400-000006000000}" name="Bảng 2"/>
    <tableColumn id="7" xr3:uid="{00000000-0010-0000-0400-000007000000}" name="Thuộc tính mới sinh ra từ N–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BangTrungGian" displayName="BangTrungGian" ref="A4:H17" totalsRowShown="0">
  <tableColumns count="8">
    <tableColumn id="1" xr3:uid="{00000000-0010-0000-0500-000001000000}" name="STT"/>
    <tableColumn id="2" xr3:uid="{00000000-0010-0000-0500-000002000000}" name="Thực thể A"/>
    <tableColumn id="3" xr3:uid="{00000000-0010-0000-0500-000003000000}" name="Tên quan hệ"/>
    <tableColumn id="4" xr3:uid="{00000000-0010-0000-0500-000004000000}" name="Thực thể B"/>
    <tableColumn id="5" xr3:uid="{00000000-0010-0000-0500-000005000000}" name="Bảng trung gian"/>
    <tableColumn id="6" xr3:uid="{00000000-0010-0000-0500-000006000000}" name="Thuộc tính của quan hệ"/>
    <tableColumn id="7" xr3:uid="{00000000-0010-0000-0500-000007000000}" name="Phạm vi"/>
    <tableColumn id="8" xr3:uid="{00000000-0010-0000-0500-000008000000}" name="Ghi chú thực hiệ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DanhMucBang" displayName="DanhMucBang" ref="A4:D58" totalsRowShown="0">
  <tableColumns count="4">
    <tableColumn id="1" xr3:uid="{00000000-0010-0000-0600-000001000000}" name="Tên bảng"/>
    <tableColumn id="2" xr3:uid="{00000000-0010-0000-0600-000002000000}" name="Nhóm nghiệp vụ"/>
    <tableColumn id="3" xr3:uid="{00000000-0010-0000-0600-000003000000}" name="Vai trò"/>
    <tableColumn id="4" xr3:uid="{00000000-0010-0000-0600-000004000000}" name="Phạm vi"/>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GhiChuThietKe" displayName="GhiChuThietKe" ref="A4:D28" totalsRowShown="0">
  <tableColumns count="4">
    <tableColumn id="1" xr3:uid="{00000000-0010-0000-0700-000001000000}" name="Mã"/>
    <tableColumn id="2" xr3:uid="{00000000-0010-0000-0700-000002000000}" name="Chủ đề"/>
    <tableColumn id="3" xr3:uid="{00000000-0010-0000-0700-000003000000}" name="Nội dung / quy tắc"/>
    <tableColumn id="4" xr3:uid="{00000000-0010-0000-0700-000004000000}" name="Mức áp dụng"/>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QuanHeChatBacklog" displayName="QuanHeChatBacklog" ref="A5:G13" totalsRowShown="0">
  <tableColumns count="7">
    <tableColumn id="1" xr3:uid="{00000000-0010-0000-0800-000001000000}" name="Nhóm quan hệ"/>
    <tableColumn id="2" xr3:uid="{00000000-0010-0000-0800-000002000000}" name="Bảng 1"/>
    <tableColumn id="3" xr3:uid="{00000000-0010-0000-0800-000003000000}" name="Quan hệ với elip"/>
    <tableColumn id="4" xr3:uid="{00000000-0010-0000-0800-000004000000}" name="Elip (tên quan hệ)"/>
    <tableColumn id="5" xr3:uid="{00000000-0010-0000-0800-000005000000}" name="Quan hệ với elip2"/>
    <tableColumn id="6" xr3:uid="{00000000-0010-0000-0800-000006000000}" name="Bảng 2"/>
    <tableColumn id="7" xr3:uid="{00000000-0010-0000-0800-000007000000}" name="Thuộc tính mới sinh ra từ N–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6"/>
  <sheetViews>
    <sheetView tabSelected="1" workbookViewId="0">
      <pane ySplit="5" topLeftCell="A61" activePane="bottomLeft" state="frozen"/>
      <selection pane="bottomLeft" activeCell="A3" sqref="A3:G3"/>
    </sheetView>
  </sheetViews>
  <sheetFormatPr defaultRowHeight="14.25"/>
  <cols>
    <col min="1" max="1" width="20" customWidth="1"/>
    <col min="2" max="2" width="31" customWidth="1"/>
    <col min="3" max="3" width="19" customWidth="1"/>
    <col min="4" max="4" width="38" customWidth="1"/>
    <col min="5" max="5" width="19" customWidth="1"/>
    <col min="6" max="6" width="33" customWidth="1"/>
    <col min="7" max="7" width="57" customWidth="1"/>
  </cols>
  <sheetData>
    <row r="1" spans="1:7" ht="35.1" customHeight="1">
      <c r="A1" s="14" t="s">
        <v>0</v>
      </c>
      <c r="B1" s="14"/>
      <c r="C1" s="14"/>
      <c r="D1" s="14"/>
      <c r="E1" s="14"/>
      <c r="F1" s="14"/>
      <c r="G1" s="14"/>
    </row>
    <row r="2" spans="1:7" ht="29.1" customHeight="1">
      <c r="A2" s="15" t="s">
        <v>1</v>
      </c>
      <c r="B2" s="15"/>
      <c r="C2" s="15"/>
      <c r="D2" s="15"/>
      <c r="E2" s="15"/>
      <c r="F2" s="15"/>
      <c r="G2" s="15"/>
    </row>
    <row r="3" spans="1:7" ht="24.95" customHeight="1">
      <c r="A3" s="16" t="s">
        <v>2</v>
      </c>
      <c r="B3" s="16"/>
      <c r="C3" s="16"/>
      <c r="D3" s="16"/>
      <c r="E3" s="16"/>
      <c r="F3" s="16"/>
      <c r="G3" s="16"/>
    </row>
    <row r="5" spans="1:7" ht="36" customHeight="1">
      <c r="A5" s="11" t="s">
        <v>3</v>
      </c>
      <c r="B5" s="11" t="s">
        <v>4</v>
      </c>
      <c r="C5" s="11" t="s">
        <v>5</v>
      </c>
      <c r="D5" s="11" t="s">
        <v>6</v>
      </c>
      <c r="E5" s="11" t="s">
        <v>373</v>
      </c>
      <c r="F5" s="11" t="s">
        <v>7</v>
      </c>
      <c r="G5" s="11" t="s">
        <v>8</v>
      </c>
    </row>
    <row r="6" spans="1:7" ht="44.1" customHeight="1">
      <c r="A6" s="3" t="s">
        <v>9</v>
      </c>
      <c r="B6" s="9" t="s">
        <v>10</v>
      </c>
      <c r="C6" s="7" t="s">
        <v>11</v>
      </c>
      <c r="D6" s="8" t="s">
        <v>12</v>
      </c>
      <c r="E6" s="7" t="s">
        <v>13</v>
      </c>
      <c r="F6" s="9" t="s">
        <v>14</v>
      </c>
      <c r="G6" s="2" t="s">
        <v>15</v>
      </c>
    </row>
    <row r="7" spans="1:7" ht="44.1" customHeight="1">
      <c r="A7" s="3" t="s">
        <v>9</v>
      </c>
      <c r="B7" s="9" t="s">
        <v>16</v>
      </c>
      <c r="C7" s="7" t="s">
        <v>11</v>
      </c>
      <c r="D7" s="8" t="s">
        <v>17</v>
      </c>
      <c r="E7" s="7" t="s">
        <v>13</v>
      </c>
      <c r="F7" s="9" t="s">
        <v>18</v>
      </c>
      <c r="G7" s="2" t="s">
        <v>15</v>
      </c>
    </row>
    <row r="8" spans="1:7" ht="44.1" customHeight="1">
      <c r="A8" s="3" t="s">
        <v>9</v>
      </c>
      <c r="B8" s="9" t="s">
        <v>19</v>
      </c>
      <c r="C8" s="7" t="s">
        <v>13</v>
      </c>
      <c r="D8" s="8" t="s">
        <v>20</v>
      </c>
      <c r="E8" s="7" t="s">
        <v>13</v>
      </c>
      <c r="F8" s="9" t="s">
        <v>16</v>
      </c>
      <c r="G8" s="2" t="s">
        <v>15</v>
      </c>
    </row>
    <row r="9" spans="1:7" ht="44.1" customHeight="1">
      <c r="A9" s="3" t="s">
        <v>9</v>
      </c>
      <c r="B9" s="9" t="s">
        <v>21</v>
      </c>
      <c r="C9" s="7" t="s">
        <v>11</v>
      </c>
      <c r="D9" s="8" t="s">
        <v>22</v>
      </c>
      <c r="E9" s="7" t="s">
        <v>13</v>
      </c>
      <c r="F9" s="9" t="s">
        <v>23</v>
      </c>
      <c r="G9" s="2" t="s">
        <v>15</v>
      </c>
    </row>
    <row r="10" spans="1:7" ht="44.1" customHeight="1">
      <c r="A10" s="3" t="s">
        <v>9</v>
      </c>
      <c r="B10" s="9" t="s">
        <v>24</v>
      </c>
      <c r="C10" s="7" t="s">
        <v>11</v>
      </c>
      <c r="D10" s="8" t="s">
        <v>22</v>
      </c>
      <c r="E10" s="7" t="s">
        <v>13</v>
      </c>
      <c r="F10" s="9" t="s">
        <v>25</v>
      </c>
      <c r="G10" s="2" t="s">
        <v>15</v>
      </c>
    </row>
    <row r="11" spans="1:7" ht="44.1" customHeight="1">
      <c r="A11" s="4" t="s">
        <v>26</v>
      </c>
      <c r="B11" s="9" t="s">
        <v>16</v>
      </c>
      <c r="C11" s="7" t="s">
        <v>27</v>
      </c>
      <c r="D11" s="8" t="s">
        <v>28</v>
      </c>
      <c r="E11" s="7" t="s">
        <v>27</v>
      </c>
      <c r="F11" s="9" t="s">
        <v>29</v>
      </c>
      <c r="G11" s="2" t="s">
        <v>30</v>
      </c>
    </row>
    <row r="12" spans="1:7" ht="44.1" customHeight="1">
      <c r="A12" s="4" t="s">
        <v>26</v>
      </c>
      <c r="B12" s="9" t="s">
        <v>16</v>
      </c>
      <c r="C12" s="7" t="s">
        <v>27</v>
      </c>
      <c r="D12" s="8" t="s">
        <v>31</v>
      </c>
      <c r="E12" s="7" t="s">
        <v>27</v>
      </c>
      <c r="F12" s="9" t="s">
        <v>32</v>
      </c>
      <c r="G12" s="2" t="s">
        <v>33</v>
      </c>
    </row>
    <row r="13" spans="1:7" ht="44.1" customHeight="1">
      <c r="A13" s="4" t="s">
        <v>26</v>
      </c>
      <c r="B13" s="9" t="s">
        <v>32</v>
      </c>
      <c r="C13" s="7" t="s">
        <v>27</v>
      </c>
      <c r="D13" s="8" t="s">
        <v>34</v>
      </c>
      <c r="E13" s="7" t="s">
        <v>27</v>
      </c>
      <c r="F13" s="9" t="s">
        <v>35</v>
      </c>
      <c r="G13" s="2" t="s">
        <v>36</v>
      </c>
    </row>
    <row r="14" spans="1:7" ht="44.1" customHeight="1">
      <c r="A14" s="4" t="s">
        <v>26</v>
      </c>
      <c r="B14" s="9" t="s">
        <v>24</v>
      </c>
      <c r="C14" s="7" t="s">
        <v>27</v>
      </c>
      <c r="D14" s="8" t="s">
        <v>37</v>
      </c>
      <c r="E14" s="7" t="s">
        <v>27</v>
      </c>
      <c r="F14" s="9" t="s">
        <v>38</v>
      </c>
      <c r="G14" s="2" t="s">
        <v>39</v>
      </c>
    </row>
    <row r="15" spans="1:7" ht="44.1" customHeight="1">
      <c r="A15" s="4" t="s">
        <v>26</v>
      </c>
      <c r="B15" s="9" t="s">
        <v>19</v>
      </c>
      <c r="C15" s="7" t="s">
        <v>27</v>
      </c>
      <c r="D15" s="8" t="s">
        <v>40</v>
      </c>
      <c r="E15" s="7" t="s">
        <v>27</v>
      </c>
      <c r="F15" s="9" t="s">
        <v>29</v>
      </c>
      <c r="G15" s="2" t="s">
        <v>41</v>
      </c>
    </row>
    <row r="16" spans="1:7" ht="44.1" customHeight="1">
      <c r="A16" s="4" t="s">
        <v>26</v>
      </c>
      <c r="B16" s="9" t="s">
        <v>19</v>
      </c>
      <c r="C16" s="7" t="s">
        <v>27</v>
      </c>
      <c r="D16" s="8" t="s">
        <v>42</v>
      </c>
      <c r="E16" s="7" t="s">
        <v>27</v>
      </c>
      <c r="F16" s="9" t="s">
        <v>32</v>
      </c>
      <c r="G16" s="2" t="s">
        <v>43</v>
      </c>
    </row>
    <row r="17" spans="1:7" ht="44.1" customHeight="1">
      <c r="A17" s="4" t="s">
        <v>26</v>
      </c>
      <c r="B17" s="9" t="s">
        <v>19</v>
      </c>
      <c r="C17" s="7" t="s">
        <v>27</v>
      </c>
      <c r="D17" s="8" t="s">
        <v>44</v>
      </c>
      <c r="E17" s="7" t="s">
        <v>27</v>
      </c>
      <c r="F17" s="9" t="s">
        <v>35</v>
      </c>
      <c r="G17" s="2" t="s">
        <v>45</v>
      </c>
    </row>
    <row r="18" spans="1:7" ht="44.1" customHeight="1">
      <c r="A18" s="4" t="s">
        <v>26</v>
      </c>
      <c r="B18" s="9" t="s">
        <v>32</v>
      </c>
      <c r="C18" s="7" t="s">
        <v>27</v>
      </c>
      <c r="D18" s="8" t="s">
        <v>46</v>
      </c>
      <c r="E18" s="7" t="s">
        <v>27</v>
      </c>
      <c r="F18" s="9" t="s">
        <v>47</v>
      </c>
      <c r="G18" s="2" t="s">
        <v>48</v>
      </c>
    </row>
    <row r="19" spans="1:7" ht="44.1" customHeight="1">
      <c r="A19" s="4" t="s">
        <v>26</v>
      </c>
      <c r="B19" s="9" t="s">
        <v>14</v>
      </c>
      <c r="C19" s="7" t="s">
        <v>27</v>
      </c>
      <c r="D19" s="8" t="s">
        <v>49</v>
      </c>
      <c r="E19" s="7" t="s">
        <v>27</v>
      </c>
      <c r="F19" s="9" t="s">
        <v>50</v>
      </c>
      <c r="G19" s="2" t="s">
        <v>51</v>
      </c>
    </row>
    <row r="20" spans="1:7" ht="44.1" customHeight="1">
      <c r="A20" s="4" t="s">
        <v>26</v>
      </c>
      <c r="B20" s="9" t="s">
        <v>29</v>
      </c>
      <c r="C20" s="7" t="s">
        <v>27</v>
      </c>
      <c r="D20" s="8" t="s">
        <v>49</v>
      </c>
      <c r="E20" s="7" t="s">
        <v>27</v>
      </c>
      <c r="F20" s="9" t="s">
        <v>50</v>
      </c>
      <c r="G20" s="2" t="s">
        <v>51</v>
      </c>
    </row>
    <row r="21" spans="1:7" ht="44.1" customHeight="1">
      <c r="A21" s="4" t="s">
        <v>26</v>
      </c>
      <c r="B21" s="9" t="s">
        <v>52</v>
      </c>
      <c r="C21" s="7" t="s">
        <v>27</v>
      </c>
      <c r="D21" s="8" t="s">
        <v>49</v>
      </c>
      <c r="E21" s="7" t="s">
        <v>27</v>
      </c>
      <c r="F21" s="9" t="s">
        <v>50</v>
      </c>
      <c r="G21" s="2" t="s">
        <v>51</v>
      </c>
    </row>
    <row r="22" spans="1:7" ht="44.1" customHeight="1">
      <c r="A22" s="4" t="s">
        <v>26</v>
      </c>
      <c r="B22" s="9" t="s">
        <v>53</v>
      </c>
      <c r="C22" s="7" t="s">
        <v>27</v>
      </c>
      <c r="D22" s="8" t="s">
        <v>49</v>
      </c>
      <c r="E22" s="7" t="s">
        <v>27</v>
      </c>
      <c r="F22" s="9" t="s">
        <v>50</v>
      </c>
      <c r="G22" s="2" t="s">
        <v>51</v>
      </c>
    </row>
    <row r="23" spans="1:7" ht="44.1" customHeight="1">
      <c r="A23" s="4" t="s">
        <v>26</v>
      </c>
      <c r="B23" s="9" t="s">
        <v>54</v>
      </c>
      <c r="C23" s="7" t="s">
        <v>27</v>
      </c>
      <c r="D23" s="8" t="s">
        <v>49</v>
      </c>
      <c r="E23" s="7" t="s">
        <v>27</v>
      </c>
      <c r="F23" s="9" t="s">
        <v>50</v>
      </c>
      <c r="G23" s="2" t="s">
        <v>51</v>
      </c>
    </row>
    <row r="24" spans="1:7" ht="44.1" customHeight="1">
      <c r="A24" s="5" t="s">
        <v>55</v>
      </c>
      <c r="B24" s="9" t="s">
        <v>10</v>
      </c>
      <c r="C24" s="7" t="s">
        <v>13</v>
      </c>
      <c r="D24" s="8" t="s">
        <v>56</v>
      </c>
      <c r="E24" s="7" t="s">
        <v>27</v>
      </c>
      <c r="F24" s="9" t="s">
        <v>16</v>
      </c>
      <c r="G24" s="2" t="s">
        <v>15</v>
      </c>
    </row>
    <row r="25" spans="1:7" ht="44.1" customHeight="1">
      <c r="A25" s="5" t="s">
        <v>55</v>
      </c>
      <c r="B25" s="9" t="s">
        <v>10</v>
      </c>
      <c r="C25" s="7" t="s">
        <v>11</v>
      </c>
      <c r="D25" s="8" t="s">
        <v>57</v>
      </c>
      <c r="E25" s="7" t="s">
        <v>27</v>
      </c>
      <c r="F25" s="9" t="s">
        <v>58</v>
      </c>
      <c r="G25" s="2" t="s">
        <v>15</v>
      </c>
    </row>
    <row r="26" spans="1:7" ht="44.1" customHeight="1">
      <c r="A26" s="5" t="s">
        <v>55</v>
      </c>
      <c r="B26" s="9" t="s">
        <v>10</v>
      </c>
      <c r="C26" s="7" t="s">
        <v>11</v>
      </c>
      <c r="D26" s="8" t="s">
        <v>59</v>
      </c>
      <c r="E26" s="7" t="s">
        <v>27</v>
      </c>
      <c r="F26" s="9" t="s">
        <v>60</v>
      </c>
      <c r="G26" s="2" t="s">
        <v>15</v>
      </c>
    </row>
    <row r="27" spans="1:7" ht="44.1" customHeight="1">
      <c r="A27" s="5" t="s">
        <v>55</v>
      </c>
      <c r="B27" s="9" t="s">
        <v>10</v>
      </c>
      <c r="C27" s="7" t="s">
        <v>11</v>
      </c>
      <c r="D27" s="8" t="s">
        <v>61</v>
      </c>
      <c r="E27" s="7" t="s">
        <v>27</v>
      </c>
      <c r="F27" s="9" t="s">
        <v>18</v>
      </c>
      <c r="G27" s="2" t="s">
        <v>15</v>
      </c>
    </row>
    <row r="28" spans="1:7" ht="44.1" customHeight="1">
      <c r="A28" s="5" t="s">
        <v>55</v>
      </c>
      <c r="B28" s="9" t="s">
        <v>10</v>
      </c>
      <c r="C28" s="7" t="s">
        <v>11</v>
      </c>
      <c r="D28" s="8" t="s">
        <v>62</v>
      </c>
      <c r="E28" s="7" t="s">
        <v>27</v>
      </c>
      <c r="F28" s="9" t="s">
        <v>63</v>
      </c>
      <c r="G28" s="2" t="s">
        <v>15</v>
      </c>
    </row>
    <row r="29" spans="1:7" ht="44.1" customHeight="1">
      <c r="A29" s="5" t="s">
        <v>55</v>
      </c>
      <c r="B29" s="9" t="s">
        <v>10</v>
      </c>
      <c r="C29" s="7" t="s">
        <v>11</v>
      </c>
      <c r="D29" s="8" t="s">
        <v>64</v>
      </c>
      <c r="E29" s="7" t="s">
        <v>27</v>
      </c>
      <c r="F29" s="9" t="s">
        <v>65</v>
      </c>
      <c r="G29" s="2" t="s">
        <v>15</v>
      </c>
    </row>
    <row r="30" spans="1:7" ht="44.1" customHeight="1">
      <c r="A30" s="5" t="s">
        <v>55</v>
      </c>
      <c r="B30" s="9" t="s">
        <v>10</v>
      </c>
      <c r="C30" s="7" t="s">
        <v>11</v>
      </c>
      <c r="D30" s="8" t="s">
        <v>66</v>
      </c>
      <c r="E30" s="7" t="s">
        <v>27</v>
      </c>
      <c r="F30" s="9" t="s">
        <v>54</v>
      </c>
      <c r="G30" s="2" t="s">
        <v>15</v>
      </c>
    </row>
    <row r="31" spans="1:7" ht="44.1" customHeight="1">
      <c r="A31" s="5" t="s">
        <v>55</v>
      </c>
      <c r="B31" s="9" t="s">
        <v>67</v>
      </c>
      <c r="C31" s="7" t="s">
        <v>13</v>
      </c>
      <c r="D31" s="8" t="s">
        <v>68</v>
      </c>
      <c r="E31" s="7" t="s">
        <v>27</v>
      </c>
      <c r="F31" s="9" t="s">
        <v>69</v>
      </c>
      <c r="G31" s="2" t="s">
        <v>15</v>
      </c>
    </row>
    <row r="32" spans="1:7" ht="44.1" customHeight="1">
      <c r="A32" s="5" t="s">
        <v>55</v>
      </c>
      <c r="B32" s="9" t="s">
        <v>10</v>
      </c>
      <c r="C32" s="7" t="s">
        <v>11</v>
      </c>
      <c r="D32" s="8" t="s">
        <v>70</v>
      </c>
      <c r="E32" s="7" t="s">
        <v>27</v>
      </c>
      <c r="F32" s="9" t="s">
        <v>71</v>
      </c>
      <c r="G32" s="2" t="s">
        <v>15</v>
      </c>
    </row>
    <row r="33" spans="1:7" ht="44.1" customHeight="1">
      <c r="A33" s="5" t="s">
        <v>55</v>
      </c>
      <c r="B33" s="9" t="s">
        <v>10</v>
      </c>
      <c r="C33" s="7" t="s">
        <v>13</v>
      </c>
      <c r="D33" s="8" t="s">
        <v>72</v>
      </c>
      <c r="E33" s="7" t="s">
        <v>27</v>
      </c>
      <c r="F33" s="9" t="s">
        <v>73</v>
      </c>
      <c r="G33" s="2" t="s">
        <v>15</v>
      </c>
    </row>
    <row r="34" spans="1:7" ht="44.1" customHeight="1">
      <c r="A34" s="5" t="s">
        <v>55</v>
      </c>
      <c r="B34" s="9" t="s">
        <v>67</v>
      </c>
      <c r="C34" s="7" t="s">
        <v>13</v>
      </c>
      <c r="D34" s="8" t="s">
        <v>74</v>
      </c>
      <c r="E34" s="7" t="s">
        <v>27</v>
      </c>
      <c r="F34" s="9" t="s">
        <v>65</v>
      </c>
      <c r="G34" s="2" t="s">
        <v>15</v>
      </c>
    </row>
    <row r="35" spans="1:7" ht="44.1" customHeight="1">
      <c r="A35" s="5" t="s">
        <v>55</v>
      </c>
      <c r="B35" s="9" t="s">
        <v>75</v>
      </c>
      <c r="C35" s="7" t="s">
        <v>11</v>
      </c>
      <c r="D35" s="8" t="s">
        <v>76</v>
      </c>
      <c r="E35" s="7" t="s">
        <v>27</v>
      </c>
      <c r="F35" s="9" t="s">
        <v>19</v>
      </c>
      <c r="G35" s="2" t="s">
        <v>15</v>
      </c>
    </row>
    <row r="36" spans="1:7" ht="44.1" customHeight="1">
      <c r="A36" s="5" t="s">
        <v>55</v>
      </c>
      <c r="B36" s="9" t="s">
        <v>10</v>
      </c>
      <c r="C36" s="7" t="s">
        <v>11</v>
      </c>
      <c r="D36" s="8" t="s">
        <v>77</v>
      </c>
      <c r="E36" s="7" t="s">
        <v>27</v>
      </c>
      <c r="F36" s="9" t="s">
        <v>50</v>
      </c>
      <c r="G36" s="2" t="s">
        <v>15</v>
      </c>
    </row>
    <row r="37" spans="1:7" ht="44.1" customHeight="1">
      <c r="A37" s="5" t="s">
        <v>55</v>
      </c>
      <c r="B37" s="9" t="s">
        <v>67</v>
      </c>
      <c r="C37" s="7" t="s">
        <v>13</v>
      </c>
      <c r="D37" s="8" t="s">
        <v>78</v>
      </c>
      <c r="E37" s="7" t="s">
        <v>27</v>
      </c>
      <c r="F37" s="9" t="s">
        <v>18</v>
      </c>
      <c r="G37" s="2" t="s">
        <v>15</v>
      </c>
    </row>
    <row r="38" spans="1:7" ht="44.1" customHeight="1">
      <c r="A38" s="5" t="s">
        <v>55</v>
      </c>
      <c r="B38" s="9" t="s">
        <v>75</v>
      </c>
      <c r="C38" s="7" t="s">
        <v>11</v>
      </c>
      <c r="D38" s="8" t="s">
        <v>79</v>
      </c>
      <c r="E38" s="7" t="s">
        <v>27</v>
      </c>
      <c r="F38" s="9" t="s">
        <v>80</v>
      </c>
      <c r="G38" s="2" t="s">
        <v>15</v>
      </c>
    </row>
    <row r="39" spans="1:7" ht="44.1" customHeight="1">
      <c r="A39" s="5" t="s">
        <v>55</v>
      </c>
      <c r="B39" s="9" t="s">
        <v>75</v>
      </c>
      <c r="C39" s="7" t="s">
        <v>11</v>
      </c>
      <c r="D39" s="8" t="s">
        <v>81</v>
      </c>
      <c r="E39" s="7" t="s">
        <v>27</v>
      </c>
      <c r="F39" s="9" t="s">
        <v>82</v>
      </c>
      <c r="G39" s="2" t="s">
        <v>15</v>
      </c>
    </row>
    <row r="40" spans="1:7" ht="44.1" customHeight="1">
      <c r="A40" s="5" t="s">
        <v>55</v>
      </c>
      <c r="B40" s="9" t="s">
        <v>14</v>
      </c>
      <c r="C40" s="7" t="s">
        <v>11</v>
      </c>
      <c r="D40" s="8" t="s">
        <v>83</v>
      </c>
      <c r="E40" s="7" t="s">
        <v>27</v>
      </c>
      <c r="F40" s="9" t="s">
        <v>29</v>
      </c>
      <c r="G40" s="2" t="s">
        <v>15</v>
      </c>
    </row>
    <row r="41" spans="1:7" ht="44.1" customHeight="1">
      <c r="A41" s="5" t="s">
        <v>55</v>
      </c>
      <c r="B41" s="9" t="s">
        <v>14</v>
      </c>
      <c r="C41" s="7" t="s">
        <v>11</v>
      </c>
      <c r="D41" s="8" t="s">
        <v>84</v>
      </c>
      <c r="E41" s="7" t="s">
        <v>27</v>
      </c>
      <c r="F41" s="9" t="s">
        <v>52</v>
      </c>
      <c r="G41" s="2" t="s">
        <v>15</v>
      </c>
    </row>
    <row r="42" spans="1:7" ht="44.1" customHeight="1">
      <c r="A42" s="5" t="s">
        <v>55</v>
      </c>
      <c r="B42" s="9" t="s">
        <v>14</v>
      </c>
      <c r="C42" s="7" t="s">
        <v>11</v>
      </c>
      <c r="D42" s="8" t="s">
        <v>12</v>
      </c>
      <c r="E42" s="7" t="s">
        <v>27</v>
      </c>
      <c r="F42" s="9" t="s">
        <v>35</v>
      </c>
      <c r="G42" s="2" t="s">
        <v>15</v>
      </c>
    </row>
    <row r="43" spans="1:7" ht="44.1" customHeight="1">
      <c r="A43" s="5" t="s">
        <v>55</v>
      </c>
      <c r="B43" s="9" t="s">
        <v>14</v>
      </c>
      <c r="C43" s="7" t="s">
        <v>11</v>
      </c>
      <c r="D43" s="8" t="s">
        <v>85</v>
      </c>
      <c r="E43" s="7" t="s">
        <v>27</v>
      </c>
      <c r="F43" s="9" t="s">
        <v>53</v>
      </c>
      <c r="G43" s="2" t="s">
        <v>15</v>
      </c>
    </row>
    <row r="44" spans="1:7" ht="44.1" customHeight="1">
      <c r="A44" s="5" t="s">
        <v>55</v>
      </c>
      <c r="B44" s="9" t="s">
        <v>14</v>
      </c>
      <c r="C44" s="7" t="s">
        <v>11</v>
      </c>
      <c r="D44" s="8" t="s">
        <v>86</v>
      </c>
      <c r="E44" s="7" t="s">
        <v>27</v>
      </c>
      <c r="F44" s="9" t="s">
        <v>16</v>
      </c>
      <c r="G44" s="2" t="s">
        <v>15</v>
      </c>
    </row>
    <row r="45" spans="1:7" ht="44.1" customHeight="1">
      <c r="A45" s="5" t="s">
        <v>55</v>
      </c>
      <c r="B45" s="9" t="s">
        <v>14</v>
      </c>
      <c r="C45" s="7" t="s">
        <v>11</v>
      </c>
      <c r="D45" s="8" t="s">
        <v>87</v>
      </c>
      <c r="E45" s="7" t="s">
        <v>27</v>
      </c>
      <c r="F45" s="9" t="s">
        <v>58</v>
      </c>
      <c r="G45" s="2" t="s">
        <v>15</v>
      </c>
    </row>
    <row r="46" spans="1:7" ht="44.1" customHeight="1">
      <c r="A46" s="5" t="s">
        <v>55</v>
      </c>
      <c r="B46" s="9" t="s">
        <v>14</v>
      </c>
      <c r="C46" s="7" t="s">
        <v>11</v>
      </c>
      <c r="D46" s="8" t="s">
        <v>88</v>
      </c>
      <c r="E46" s="7" t="s">
        <v>27</v>
      </c>
      <c r="F46" s="9" t="s">
        <v>71</v>
      </c>
      <c r="G46" s="2" t="s">
        <v>15</v>
      </c>
    </row>
    <row r="47" spans="1:7" ht="44.1" customHeight="1">
      <c r="A47" s="5" t="s">
        <v>55</v>
      </c>
      <c r="B47" s="9" t="s">
        <v>14</v>
      </c>
      <c r="C47" s="7" t="s">
        <v>13</v>
      </c>
      <c r="D47" s="8" t="s">
        <v>89</v>
      </c>
      <c r="E47" s="7" t="s">
        <v>27</v>
      </c>
      <c r="F47" s="9" t="s">
        <v>54</v>
      </c>
      <c r="G47" s="2" t="s">
        <v>15</v>
      </c>
    </row>
    <row r="48" spans="1:7" ht="44.1" customHeight="1">
      <c r="A48" s="5" t="s">
        <v>55</v>
      </c>
      <c r="B48" s="9" t="s">
        <v>14</v>
      </c>
      <c r="C48" s="7" t="s">
        <v>11</v>
      </c>
      <c r="D48" s="8" t="s">
        <v>90</v>
      </c>
      <c r="E48" s="7" t="s">
        <v>27</v>
      </c>
      <c r="F48" s="9" t="s">
        <v>69</v>
      </c>
      <c r="G48" s="2" t="s">
        <v>15</v>
      </c>
    </row>
    <row r="49" spans="1:7" ht="44.1" customHeight="1">
      <c r="A49" s="5" t="s">
        <v>55</v>
      </c>
      <c r="B49" s="9" t="s">
        <v>14</v>
      </c>
      <c r="C49" s="7" t="s">
        <v>13</v>
      </c>
      <c r="D49" s="8" t="s">
        <v>91</v>
      </c>
      <c r="E49" s="7" t="s">
        <v>27</v>
      </c>
      <c r="F49" s="9" t="s">
        <v>65</v>
      </c>
      <c r="G49" s="2" t="s">
        <v>15</v>
      </c>
    </row>
    <row r="50" spans="1:7" ht="44.1" customHeight="1">
      <c r="A50" s="5" t="s">
        <v>55</v>
      </c>
      <c r="B50" s="9" t="s">
        <v>92</v>
      </c>
      <c r="C50" s="7" t="s">
        <v>11</v>
      </c>
      <c r="D50" s="8" t="s">
        <v>93</v>
      </c>
      <c r="E50" s="7" t="s">
        <v>27</v>
      </c>
      <c r="F50" s="9" t="s">
        <v>52</v>
      </c>
      <c r="G50" s="2" t="s">
        <v>15</v>
      </c>
    </row>
    <row r="51" spans="1:7" ht="44.1" customHeight="1">
      <c r="A51" s="5" t="s">
        <v>55</v>
      </c>
      <c r="B51" s="9" t="s">
        <v>52</v>
      </c>
      <c r="C51" s="7" t="s">
        <v>11</v>
      </c>
      <c r="D51" s="8" t="s">
        <v>94</v>
      </c>
      <c r="E51" s="7" t="s">
        <v>27</v>
      </c>
      <c r="F51" s="9" t="s">
        <v>32</v>
      </c>
      <c r="G51" s="2" t="s">
        <v>15</v>
      </c>
    </row>
    <row r="52" spans="1:7" ht="44.1" customHeight="1">
      <c r="A52" s="5" t="s">
        <v>55</v>
      </c>
      <c r="B52" s="9" t="s">
        <v>52</v>
      </c>
      <c r="C52" s="7" t="s">
        <v>11</v>
      </c>
      <c r="D52" s="8" t="s">
        <v>95</v>
      </c>
      <c r="E52" s="7" t="s">
        <v>27</v>
      </c>
      <c r="F52" s="9" t="s">
        <v>47</v>
      </c>
      <c r="G52" s="2" t="s">
        <v>15</v>
      </c>
    </row>
    <row r="53" spans="1:7" ht="44.1" customHeight="1">
      <c r="A53" s="5" t="s">
        <v>55</v>
      </c>
      <c r="B53" s="9" t="s">
        <v>47</v>
      </c>
      <c r="C53" s="7" t="s">
        <v>11</v>
      </c>
      <c r="D53" s="8" t="s">
        <v>96</v>
      </c>
      <c r="E53" s="7" t="s">
        <v>27</v>
      </c>
      <c r="F53" s="9" t="s">
        <v>38</v>
      </c>
      <c r="G53" s="2" t="s">
        <v>15</v>
      </c>
    </row>
    <row r="54" spans="1:7" ht="44.1" customHeight="1">
      <c r="A54" s="5" t="s">
        <v>55</v>
      </c>
      <c r="B54" s="9" t="s">
        <v>29</v>
      </c>
      <c r="C54" s="7" t="s">
        <v>11</v>
      </c>
      <c r="D54" s="8" t="s">
        <v>97</v>
      </c>
      <c r="E54" s="7" t="s">
        <v>27</v>
      </c>
      <c r="F54" s="9" t="s">
        <v>80</v>
      </c>
      <c r="G54" s="2" t="s">
        <v>15</v>
      </c>
    </row>
    <row r="55" spans="1:7" ht="44.1" customHeight="1">
      <c r="A55" s="5" t="s">
        <v>55</v>
      </c>
      <c r="B55" s="9" t="s">
        <v>35</v>
      </c>
      <c r="C55" s="7" t="s">
        <v>11</v>
      </c>
      <c r="D55" s="8" t="s">
        <v>98</v>
      </c>
      <c r="E55" s="7" t="s">
        <v>27</v>
      </c>
      <c r="F55" s="9" t="s">
        <v>82</v>
      </c>
      <c r="G55" s="2" t="s">
        <v>15</v>
      </c>
    </row>
    <row r="56" spans="1:7" ht="44.1" customHeight="1">
      <c r="A56" s="5" t="s">
        <v>55</v>
      </c>
      <c r="B56" s="9" t="s">
        <v>53</v>
      </c>
      <c r="C56" s="7" t="s">
        <v>11</v>
      </c>
      <c r="D56" s="8" t="s">
        <v>99</v>
      </c>
      <c r="E56" s="7" t="s">
        <v>27</v>
      </c>
      <c r="F56" s="9" t="s">
        <v>60</v>
      </c>
      <c r="G56" s="2" t="s">
        <v>15</v>
      </c>
    </row>
    <row r="57" spans="1:7" ht="44.1" customHeight="1">
      <c r="A57" s="5" t="s">
        <v>55</v>
      </c>
      <c r="B57" s="9" t="s">
        <v>16</v>
      </c>
      <c r="C57" s="7" t="s">
        <v>11</v>
      </c>
      <c r="D57" s="8" t="s">
        <v>100</v>
      </c>
      <c r="E57" s="7" t="s">
        <v>101</v>
      </c>
      <c r="F57" s="9" t="s">
        <v>73</v>
      </c>
      <c r="G57" s="2" t="s">
        <v>15</v>
      </c>
    </row>
    <row r="58" spans="1:7" ht="44.1" customHeight="1">
      <c r="A58" s="5" t="s">
        <v>55</v>
      </c>
      <c r="B58" s="9" t="s">
        <v>16</v>
      </c>
      <c r="C58" s="7" t="s">
        <v>13</v>
      </c>
      <c r="D58" s="8" t="s">
        <v>102</v>
      </c>
      <c r="E58" s="7" t="s">
        <v>27</v>
      </c>
      <c r="F58" s="9" t="s">
        <v>71</v>
      </c>
      <c r="G58" s="2" t="s">
        <v>15</v>
      </c>
    </row>
    <row r="59" spans="1:7" ht="44.1" customHeight="1">
      <c r="A59" s="5" t="s">
        <v>55</v>
      </c>
      <c r="B59" s="9" t="s">
        <v>16</v>
      </c>
      <c r="C59" s="7" t="s">
        <v>11</v>
      </c>
      <c r="D59" s="8" t="s">
        <v>103</v>
      </c>
      <c r="E59" s="7" t="s">
        <v>27</v>
      </c>
      <c r="F59" s="9" t="s">
        <v>104</v>
      </c>
      <c r="G59" s="2" t="s">
        <v>15</v>
      </c>
    </row>
    <row r="60" spans="1:7" ht="44.1" customHeight="1">
      <c r="A60" s="5" t="s">
        <v>55</v>
      </c>
      <c r="B60" s="9" t="s">
        <v>16</v>
      </c>
      <c r="C60" s="7" t="s">
        <v>13</v>
      </c>
      <c r="D60" s="8" t="s">
        <v>105</v>
      </c>
      <c r="E60" s="7" t="s">
        <v>27</v>
      </c>
      <c r="F60" s="9" t="s">
        <v>65</v>
      </c>
      <c r="G60" s="2" t="s">
        <v>15</v>
      </c>
    </row>
    <row r="61" spans="1:7" ht="44.1" customHeight="1">
      <c r="A61" s="5" t="s">
        <v>55</v>
      </c>
      <c r="B61" s="9" t="s">
        <v>104</v>
      </c>
      <c r="C61" s="7" t="s">
        <v>13</v>
      </c>
      <c r="D61" s="8" t="s">
        <v>106</v>
      </c>
      <c r="E61" s="7" t="s">
        <v>27</v>
      </c>
      <c r="F61" s="9" t="s">
        <v>71</v>
      </c>
      <c r="G61" s="2" t="s">
        <v>15</v>
      </c>
    </row>
    <row r="62" spans="1:7" ht="44.1" customHeight="1">
      <c r="A62" s="5" t="s">
        <v>55</v>
      </c>
      <c r="B62" s="9" t="s">
        <v>58</v>
      </c>
      <c r="C62" s="7" t="s">
        <v>11</v>
      </c>
      <c r="D62" s="8" t="s">
        <v>107</v>
      </c>
      <c r="E62" s="7" t="s">
        <v>27</v>
      </c>
      <c r="F62" s="9" t="s">
        <v>19</v>
      </c>
      <c r="G62" s="2" t="s">
        <v>15</v>
      </c>
    </row>
    <row r="63" spans="1:7" ht="44.1" customHeight="1">
      <c r="A63" s="5" t="s">
        <v>55</v>
      </c>
      <c r="B63" s="9" t="s">
        <v>52</v>
      </c>
      <c r="C63" s="7" t="s">
        <v>11</v>
      </c>
      <c r="D63" s="8" t="s">
        <v>108</v>
      </c>
      <c r="E63" s="7" t="s">
        <v>27</v>
      </c>
      <c r="F63" s="9" t="s">
        <v>109</v>
      </c>
      <c r="G63" s="2" t="s">
        <v>15</v>
      </c>
    </row>
    <row r="64" spans="1:7" ht="44.1" customHeight="1">
      <c r="A64" s="5" t="s">
        <v>55</v>
      </c>
      <c r="B64" s="9" t="s">
        <v>14</v>
      </c>
      <c r="C64" s="7" t="s">
        <v>11</v>
      </c>
      <c r="D64" s="8" t="s">
        <v>110</v>
      </c>
      <c r="E64" s="7" t="s">
        <v>27</v>
      </c>
      <c r="F64" s="9" t="s">
        <v>111</v>
      </c>
      <c r="G64" s="2" t="s">
        <v>15</v>
      </c>
    </row>
    <row r="65" spans="1:7" ht="44.1" customHeight="1">
      <c r="A65" s="5" t="s">
        <v>55</v>
      </c>
      <c r="B65" s="9" t="s">
        <v>29</v>
      </c>
      <c r="C65" s="7" t="s">
        <v>11</v>
      </c>
      <c r="D65" s="8" t="s">
        <v>110</v>
      </c>
      <c r="E65" s="7" t="s">
        <v>27</v>
      </c>
      <c r="F65" s="9" t="s">
        <v>112</v>
      </c>
      <c r="G65" s="2" t="s">
        <v>15</v>
      </c>
    </row>
    <row r="66" spans="1:7" ht="44.1" customHeight="1">
      <c r="A66" s="5" t="s">
        <v>55</v>
      </c>
      <c r="B66" s="9" t="s">
        <v>52</v>
      </c>
      <c r="C66" s="7" t="s">
        <v>11</v>
      </c>
      <c r="D66" s="8" t="s">
        <v>110</v>
      </c>
      <c r="E66" s="7" t="s">
        <v>27</v>
      </c>
      <c r="F66" s="9" t="s">
        <v>113</v>
      </c>
      <c r="G66" s="2" t="s">
        <v>15</v>
      </c>
    </row>
    <row r="67" spans="1:7" ht="44.1" customHeight="1">
      <c r="A67" s="5" t="s">
        <v>55</v>
      </c>
      <c r="B67" s="9" t="s">
        <v>53</v>
      </c>
      <c r="C67" s="7" t="s">
        <v>11</v>
      </c>
      <c r="D67" s="8" t="s">
        <v>110</v>
      </c>
      <c r="E67" s="7" t="s">
        <v>27</v>
      </c>
      <c r="F67" s="9" t="s">
        <v>114</v>
      </c>
      <c r="G67" s="2" t="s">
        <v>15</v>
      </c>
    </row>
    <row r="68" spans="1:7" ht="44.1" customHeight="1">
      <c r="A68" s="5" t="s">
        <v>55</v>
      </c>
      <c r="B68" s="9" t="s">
        <v>54</v>
      </c>
      <c r="C68" s="7" t="s">
        <v>11</v>
      </c>
      <c r="D68" s="8" t="s">
        <v>110</v>
      </c>
      <c r="E68" s="7" t="s">
        <v>27</v>
      </c>
      <c r="F68" s="9" t="s">
        <v>115</v>
      </c>
      <c r="G68" s="2" t="s">
        <v>15</v>
      </c>
    </row>
    <row r="69" spans="1:7" ht="44.1" customHeight="1">
      <c r="A69" s="5" t="s">
        <v>55</v>
      </c>
      <c r="B69" s="9" t="s">
        <v>10</v>
      </c>
      <c r="C69" s="7" t="s">
        <v>11</v>
      </c>
      <c r="D69" s="8" t="s">
        <v>116</v>
      </c>
      <c r="E69" s="7" t="s">
        <v>27</v>
      </c>
      <c r="F69" s="9" t="s">
        <v>111</v>
      </c>
      <c r="G69" s="2" t="s">
        <v>15</v>
      </c>
    </row>
    <row r="70" spans="1:7" ht="44.1" customHeight="1">
      <c r="A70" s="5" t="s">
        <v>55</v>
      </c>
      <c r="B70" s="9" t="s">
        <v>10</v>
      </c>
      <c r="C70" s="7" t="s">
        <v>11</v>
      </c>
      <c r="D70" s="8" t="s">
        <v>117</v>
      </c>
      <c r="E70" s="7" t="s">
        <v>27</v>
      </c>
      <c r="F70" s="9" t="s">
        <v>112</v>
      </c>
      <c r="G70" s="2" t="s">
        <v>15</v>
      </c>
    </row>
    <row r="71" spans="1:7" ht="44.1" customHeight="1">
      <c r="A71" s="5" t="s">
        <v>55</v>
      </c>
      <c r="B71" s="9" t="s">
        <v>10</v>
      </c>
      <c r="C71" s="7" t="s">
        <v>11</v>
      </c>
      <c r="D71" s="8" t="s">
        <v>118</v>
      </c>
      <c r="E71" s="7" t="s">
        <v>27</v>
      </c>
      <c r="F71" s="9" t="s">
        <v>113</v>
      </c>
      <c r="G71" s="2" t="s">
        <v>15</v>
      </c>
    </row>
    <row r="72" spans="1:7" ht="44.1" customHeight="1">
      <c r="A72" s="5" t="s">
        <v>55</v>
      </c>
      <c r="B72" s="9" t="s">
        <v>10</v>
      </c>
      <c r="C72" s="7" t="s">
        <v>11</v>
      </c>
      <c r="D72" s="8" t="s">
        <v>119</v>
      </c>
      <c r="E72" s="7" t="s">
        <v>27</v>
      </c>
      <c r="F72" s="9" t="s">
        <v>114</v>
      </c>
      <c r="G72" s="2" t="s">
        <v>15</v>
      </c>
    </row>
    <row r="73" spans="1:7" ht="44.1" customHeight="1">
      <c r="A73" s="5" t="s">
        <v>55</v>
      </c>
      <c r="B73" s="9" t="s">
        <v>10</v>
      </c>
      <c r="C73" s="7" t="s">
        <v>11</v>
      </c>
      <c r="D73" s="8" t="s">
        <v>120</v>
      </c>
      <c r="E73" s="7" t="s">
        <v>27</v>
      </c>
      <c r="F73" s="9" t="s">
        <v>115</v>
      </c>
      <c r="G73" s="2" t="s">
        <v>15</v>
      </c>
    </row>
    <row r="74" spans="1:7" ht="44.1" customHeight="1">
      <c r="A74" s="5" t="s">
        <v>55</v>
      </c>
      <c r="B74" s="9" t="s">
        <v>67</v>
      </c>
      <c r="C74" s="7" t="s">
        <v>13</v>
      </c>
      <c r="D74" s="8" t="s">
        <v>121</v>
      </c>
      <c r="E74" s="7" t="s">
        <v>27</v>
      </c>
      <c r="F74" s="9" t="s">
        <v>111</v>
      </c>
      <c r="G74" s="2" t="s">
        <v>15</v>
      </c>
    </row>
    <row r="75" spans="1:7" ht="44.1" customHeight="1">
      <c r="A75" s="5" t="s">
        <v>55</v>
      </c>
      <c r="B75" s="9" t="s">
        <v>67</v>
      </c>
      <c r="C75" s="7" t="s">
        <v>13</v>
      </c>
      <c r="D75" s="8" t="s">
        <v>122</v>
      </c>
      <c r="E75" s="7" t="s">
        <v>27</v>
      </c>
      <c r="F75" s="9" t="s">
        <v>112</v>
      </c>
      <c r="G75" s="2" t="s">
        <v>15</v>
      </c>
    </row>
    <row r="76" spans="1:7" ht="44.1" customHeight="1">
      <c r="A76" s="5" t="s">
        <v>55</v>
      </c>
      <c r="B76" s="9" t="s">
        <v>67</v>
      </c>
      <c r="C76" s="7" t="s">
        <v>13</v>
      </c>
      <c r="D76" s="8" t="s">
        <v>123</v>
      </c>
      <c r="E76" s="7" t="s">
        <v>27</v>
      </c>
      <c r="F76" s="9" t="s">
        <v>113</v>
      </c>
      <c r="G76" s="2" t="s">
        <v>15</v>
      </c>
    </row>
    <row r="77" spans="1:7" ht="44.1" customHeight="1">
      <c r="A77" s="5" t="s">
        <v>55</v>
      </c>
      <c r="B77" s="9" t="s">
        <v>67</v>
      </c>
      <c r="C77" s="7" t="s">
        <v>13</v>
      </c>
      <c r="D77" s="8" t="s">
        <v>124</v>
      </c>
      <c r="E77" s="7" t="s">
        <v>27</v>
      </c>
      <c r="F77" s="9" t="s">
        <v>114</v>
      </c>
      <c r="G77" s="2" t="s">
        <v>15</v>
      </c>
    </row>
    <row r="78" spans="1:7" ht="44.1" customHeight="1">
      <c r="A78" s="5" t="s">
        <v>55</v>
      </c>
      <c r="B78" s="9" t="s">
        <v>67</v>
      </c>
      <c r="C78" s="7" t="s">
        <v>13</v>
      </c>
      <c r="D78" s="8" t="s">
        <v>125</v>
      </c>
      <c r="E78" s="7" t="s">
        <v>27</v>
      </c>
      <c r="F78" s="9" t="s">
        <v>115</v>
      </c>
      <c r="G78" s="2" t="s">
        <v>15</v>
      </c>
    </row>
    <row r="79" spans="1:7" ht="44.1" customHeight="1">
      <c r="A79" s="6" t="s">
        <v>126</v>
      </c>
      <c r="B79" s="9" t="s">
        <v>16</v>
      </c>
      <c r="C79" s="7" t="s">
        <v>11</v>
      </c>
      <c r="D79" s="8" t="s">
        <v>127</v>
      </c>
      <c r="E79" s="7" t="s">
        <v>27</v>
      </c>
      <c r="F79" s="9" t="s">
        <v>21</v>
      </c>
      <c r="G79" s="2" t="s">
        <v>15</v>
      </c>
    </row>
    <row r="80" spans="1:7" ht="44.1" customHeight="1">
      <c r="A80" s="6" t="s">
        <v>126</v>
      </c>
      <c r="B80" s="9" t="s">
        <v>29</v>
      </c>
      <c r="C80" s="7" t="s">
        <v>11</v>
      </c>
      <c r="D80" s="8" t="s">
        <v>128</v>
      </c>
      <c r="E80" s="7" t="s">
        <v>27</v>
      </c>
      <c r="F80" s="9" t="s">
        <v>21</v>
      </c>
      <c r="G80" s="2" t="s">
        <v>15</v>
      </c>
    </row>
    <row r="81" spans="1:7" ht="44.1" customHeight="1">
      <c r="A81" s="6" t="s">
        <v>126</v>
      </c>
      <c r="B81" s="9" t="s">
        <v>16</v>
      </c>
      <c r="C81" s="7" t="s">
        <v>11</v>
      </c>
      <c r="D81" s="8" t="s">
        <v>129</v>
      </c>
      <c r="E81" s="7" t="s">
        <v>27</v>
      </c>
      <c r="F81" s="9" t="s">
        <v>24</v>
      </c>
      <c r="G81" s="2" t="s">
        <v>15</v>
      </c>
    </row>
    <row r="82" spans="1:7" ht="44.1" customHeight="1">
      <c r="A82" s="6" t="s">
        <v>126</v>
      </c>
      <c r="B82" s="9" t="s">
        <v>32</v>
      </c>
      <c r="C82" s="7" t="s">
        <v>11</v>
      </c>
      <c r="D82" s="8" t="s">
        <v>128</v>
      </c>
      <c r="E82" s="7" t="s">
        <v>27</v>
      </c>
      <c r="F82" s="9" t="s">
        <v>24</v>
      </c>
      <c r="G82" s="2" t="s">
        <v>15</v>
      </c>
    </row>
    <row r="83" spans="1:7" ht="44.1" customHeight="1">
      <c r="A83" s="6" t="s">
        <v>126</v>
      </c>
      <c r="B83" s="9" t="s">
        <v>47</v>
      </c>
      <c r="C83" s="7" t="s">
        <v>13</v>
      </c>
      <c r="D83" s="8" t="s">
        <v>130</v>
      </c>
      <c r="E83" s="7" t="s">
        <v>27</v>
      </c>
      <c r="F83" s="9" t="s">
        <v>24</v>
      </c>
      <c r="G83" s="2" t="s">
        <v>15</v>
      </c>
    </row>
    <row r="84" spans="1:7" ht="44.1" customHeight="1">
      <c r="A84" s="6" t="s">
        <v>126</v>
      </c>
      <c r="B84" s="9" t="s">
        <v>32</v>
      </c>
      <c r="C84" s="7" t="s">
        <v>11</v>
      </c>
      <c r="D84" s="8" t="s">
        <v>131</v>
      </c>
      <c r="E84" s="7" t="s">
        <v>27</v>
      </c>
      <c r="F84" s="9" t="s">
        <v>132</v>
      </c>
      <c r="G84" s="2" t="s">
        <v>15</v>
      </c>
    </row>
    <row r="85" spans="1:7" ht="44.1" customHeight="1">
      <c r="A85" s="6" t="s">
        <v>126</v>
      </c>
      <c r="B85" s="9" t="s">
        <v>35</v>
      </c>
      <c r="C85" s="7" t="s">
        <v>11</v>
      </c>
      <c r="D85" s="8" t="s">
        <v>133</v>
      </c>
      <c r="E85" s="7" t="s">
        <v>27</v>
      </c>
      <c r="F85" s="9" t="s">
        <v>132</v>
      </c>
      <c r="G85" s="2" t="s">
        <v>15</v>
      </c>
    </row>
    <row r="86" spans="1:7" ht="44.1" customHeight="1">
      <c r="A86" s="6" t="s">
        <v>126</v>
      </c>
      <c r="B86" s="9" t="s">
        <v>24</v>
      </c>
      <c r="C86" s="7" t="s">
        <v>11</v>
      </c>
      <c r="D86" s="8" t="s">
        <v>134</v>
      </c>
      <c r="E86" s="7" t="s">
        <v>27</v>
      </c>
      <c r="F86" s="9" t="s">
        <v>135</v>
      </c>
      <c r="G86" s="2" t="s">
        <v>15</v>
      </c>
    </row>
    <row r="87" spans="1:7" ht="44.1" customHeight="1">
      <c r="A87" s="6" t="s">
        <v>126</v>
      </c>
      <c r="B87" s="9" t="s">
        <v>38</v>
      </c>
      <c r="C87" s="7" t="s">
        <v>11</v>
      </c>
      <c r="D87" s="8" t="s">
        <v>136</v>
      </c>
      <c r="E87" s="7" t="s">
        <v>27</v>
      </c>
      <c r="F87" s="9" t="s">
        <v>135</v>
      </c>
      <c r="G87" s="2" t="s">
        <v>15</v>
      </c>
    </row>
    <row r="88" spans="1:7" ht="44.1" customHeight="1">
      <c r="A88" s="6" t="s">
        <v>126</v>
      </c>
      <c r="B88" s="9" t="s">
        <v>19</v>
      </c>
      <c r="C88" s="7" t="s">
        <v>11</v>
      </c>
      <c r="D88" s="8" t="s">
        <v>137</v>
      </c>
      <c r="E88" s="7" t="s">
        <v>27</v>
      </c>
      <c r="F88" s="9" t="s">
        <v>138</v>
      </c>
      <c r="G88" s="2" t="s">
        <v>15</v>
      </c>
    </row>
    <row r="89" spans="1:7" ht="44.1" customHeight="1">
      <c r="A89" s="6" t="s">
        <v>126</v>
      </c>
      <c r="B89" s="9" t="s">
        <v>29</v>
      </c>
      <c r="C89" s="7" t="s">
        <v>11</v>
      </c>
      <c r="D89" s="8" t="s">
        <v>139</v>
      </c>
      <c r="E89" s="7" t="s">
        <v>27</v>
      </c>
      <c r="F89" s="9" t="s">
        <v>138</v>
      </c>
      <c r="G89" s="2" t="s">
        <v>15</v>
      </c>
    </row>
    <row r="90" spans="1:7" ht="44.1" customHeight="1">
      <c r="A90" s="6" t="s">
        <v>126</v>
      </c>
      <c r="B90" s="9" t="s">
        <v>19</v>
      </c>
      <c r="C90" s="7" t="s">
        <v>11</v>
      </c>
      <c r="D90" s="8" t="s">
        <v>42</v>
      </c>
      <c r="E90" s="7" t="s">
        <v>27</v>
      </c>
      <c r="F90" s="9" t="s">
        <v>109</v>
      </c>
      <c r="G90" s="2" t="s">
        <v>15</v>
      </c>
    </row>
    <row r="91" spans="1:7" ht="44.1" customHeight="1">
      <c r="A91" s="6" t="s">
        <v>126</v>
      </c>
      <c r="B91" s="9" t="s">
        <v>32</v>
      </c>
      <c r="C91" s="7" t="s">
        <v>13</v>
      </c>
      <c r="D91" s="8" t="s">
        <v>139</v>
      </c>
      <c r="E91" s="7" t="s">
        <v>27</v>
      </c>
      <c r="F91" s="9" t="s">
        <v>109</v>
      </c>
      <c r="G91" s="2" t="s">
        <v>15</v>
      </c>
    </row>
    <row r="92" spans="1:7" ht="44.1" customHeight="1">
      <c r="A92" s="6" t="s">
        <v>126</v>
      </c>
      <c r="B92" s="9" t="s">
        <v>47</v>
      </c>
      <c r="C92" s="7" t="s">
        <v>13</v>
      </c>
      <c r="D92" s="8" t="s">
        <v>140</v>
      </c>
      <c r="E92" s="7" t="s">
        <v>27</v>
      </c>
      <c r="F92" s="9" t="s">
        <v>109</v>
      </c>
      <c r="G92" s="2" t="s">
        <v>15</v>
      </c>
    </row>
    <row r="93" spans="1:7" ht="44.1" customHeight="1">
      <c r="A93" s="6" t="s">
        <v>126</v>
      </c>
      <c r="B93" s="9" t="s">
        <v>19</v>
      </c>
      <c r="C93" s="7" t="s">
        <v>11</v>
      </c>
      <c r="D93" s="8" t="s">
        <v>44</v>
      </c>
      <c r="E93" s="7" t="s">
        <v>27</v>
      </c>
      <c r="F93" s="9" t="s">
        <v>141</v>
      </c>
      <c r="G93" s="2" t="s">
        <v>15</v>
      </c>
    </row>
    <row r="94" spans="1:7" ht="44.1" customHeight="1">
      <c r="A94" s="6" t="s">
        <v>126</v>
      </c>
      <c r="B94" s="9" t="s">
        <v>35</v>
      </c>
      <c r="C94" s="7" t="s">
        <v>11</v>
      </c>
      <c r="D94" s="8" t="s">
        <v>142</v>
      </c>
      <c r="E94" s="7" t="s">
        <v>27</v>
      </c>
      <c r="F94" s="9" t="s">
        <v>141</v>
      </c>
      <c r="G94" s="2" t="s">
        <v>15</v>
      </c>
    </row>
    <row r="95" spans="1:7" ht="44.1" customHeight="1">
      <c r="A95" s="6" t="s">
        <v>126</v>
      </c>
      <c r="B95" s="9" t="s">
        <v>32</v>
      </c>
      <c r="C95" s="7" t="s">
        <v>11</v>
      </c>
      <c r="D95" s="8" t="s">
        <v>143</v>
      </c>
      <c r="E95" s="7" t="s">
        <v>27</v>
      </c>
      <c r="F95" s="9" t="s">
        <v>144</v>
      </c>
      <c r="G95" s="2" t="s">
        <v>15</v>
      </c>
    </row>
    <row r="96" spans="1:7" ht="44.1" customHeight="1">
      <c r="A96" s="6" t="s">
        <v>126</v>
      </c>
      <c r="B96" s="9" t="s">
        <v>47</v>
      </c>
      <c r="C96" s="7" t="s">
        <v>11</v>
      </c>
      <c r="D96" s="8" t="s">
        <v>145</v>
      </c>
      <c r="E96" s="7" t="s">
        <v>27</v>
      </c>
      <c r="F96" s="9" t="s">
        <v>144</v>
      </c>
      <c r="G96" s="2" t="s">
        <v>15</v>
      </c>
    </row>
    <row r="97" spans="1:7" ht="44.1" customHeight="1">
      <c r="A97" s="6" t="s">
        <v>126</v>
      </c>
      <c r="B97" s="9" t="s">
        <v>14</v>
      </c>
      <c r="C97" s="7" t="s">
        <v>11</v>
      </c>
      <c r="D97" s="8" t="s">
        <v>146</v>
      </c>
      <c r="E97" s="7" t="s">
        <v>27</v>
      </c>
      <c r="F97" s="9" t="s">
        <v>147</v>
      </c>
      <c r="G97" s="2" t="s">
        <v>15</v>
      </c>
    </row>
    <row r="98" spans="1:7" ht="44.1" customHeight="1">
      <c r="A98" s="6" t="s">
        <v>126</v>
      </c>
      <c r="B98" s="9" t="s">
        <v>50</v>
      </c>
      <c r="C98" s="7" t="s">
        <v>11</v>
      </c>
      <c r="D98" s="8" t="s">
        <v>148</v>
      </c>
      <c r="E98" s="7" t="s">
        <v>27</v>
      </c>
      <c r="F98" s="9" t="s">
        <v>147</v>
      </c>
      <c r="G98" s="2" t="s">
        <v>15</v>
      </c>
    </row>
    <row r="99" spans="1:7" ht="44.1" customHeight="1">
      <c r="A99" s="6" t="s">
        <v>126</v>
      </c>
      <c r="B99" s="9" t="s">
        <v>29</v>
      </c>
      <c r="C99" s="7" t="s">
        <v>11</v>
      </c>
      <c r="D99" s="8" t="s">
        <v>146</v>
      </c>
      <c r="E99" s="7" t="s">
        <v>27</v>
      </c>
      <c r="F99" s="9" t="s">
        <v>149</v>
      </c>
      <c r="G99" s="2" t="s">
        <v>15</v>
      </c>
    </row>
    <row r="100" spans="1:7" ht="44.1" customHeight="1">
      <c r="A100" s="6" t="s">
        <v>126</v>
      </c>
      <c r="B100" s="9" t="s">
        <v>50</v>
      </c>
      <c r="C100" s="7" t="s">
        <v>11</v>
      </c>
      <c r="D100" s="8" t="s">
        <v>150</v>
      </c>
      <c r="E100" s="7" t="s">
        <v>27</v>
      </c>
      <c r="F100" s="9" t="s">
        <v>149</v>
      </c>
      <c r="G100" s="2" t="s">
        <v>15</v>
      </c>
    </row>
    <row r="101" spans="1:7" ht="44.1" customHeight="1">
      <c r="A101" s="6" t="s">
        <v>126</v>
      </c>
      <c r="B101" s="9" t="s">
        <v>52</v>
      </c>
      <c r="C101" s="7" t="s">
        <v>11</v>
      </c>
      <c r="D101" s="8" t="s">
        <v>146</v>
      </c>
      <c r="E101" s="7" t="s">
        <v>27</v>
      </c>
      <c r="F101" s="9" t="s">
        <v>151</v>
      </c>
      <c r="G101" s="2" t="s">
        <v>15</v>
      </c>
    </row>
    <row r="102" spans="1:7" ht="44.1" customHeight="1">
      <c r="A102" s="6" t="s">
        <v>126</v>
      </c>
      <c r="B102" s="9" t="s">
        <v>50</v>
      </c>
      <c r="C102" s="7" t="s">
        <v>11</v>
      </c>
      <c r="D102" s="8" t="s">
        <v>152</v>
      </c>
      <c r="E102" s="7" t="s">
        <v>27</v>
      </c>
      <c r="F102" s="9" t="s">
        <v>151</v>
      </c>
      <c r="G102" s="2" t="s">
        <v>15</v>
      </c>
    </row>
    <row r="103" spans="1:7" ht="44.1" customHeight="1">
      <c r="A103" s="6" t="s">
        <v>126</v>
      </c>
      <c r="B103" s="9" t="s">
        <v>53</v>
      </c>
      <c r="C103" s="7" t="s">
        <v>11</v>
      </c>
      <c r="D103" s="8" t="s">
        <v>146</v>
      </c>
      <c r="E103" s="7" t="s">
        <v>27</v>
      </c>
      <c r="F103" s="9" t="s">
        <v>153</v>
      </c>
      <c r="G103" s="2" t="s">
        <v>15</v>
      </c>
    </row>
    <row r="104" spans="1:7" ht="44.1" customHeight="1">
      <c r="A104" s="6" t="s">
        <v>126</v>
      </c>
      <c r="B104" s="9" t="s">
        <v>50</v>
      </c>
      <c r="C104" s="7" t="s">
        <v>11</v>
      </c>
      <c r="D104" s="8" t="s">
        <v>154</v>
      </c>
      <c r="E104" s="7" t="s">
        <v>27</v>
      </c>
      <c r="F104" s="9" t="s">
        <v>153</v>
      </c>
      <c r="G104" s="2" t="s">
        <v>15</v>
      </c>
    </row>
    <row r="105" spans="1:7" ht="44.1" customHeight="1">
      <c r="A105" s="6" t="s">
        <v>126</v>
      </c>
      <c r="B105" s="9" t="s">
        <v>54</v>
      </c>
      <c r="C105" s="7" t="s">
        <v>11</v>
      </c>
      <c r="D105" s="8" t="s">
        <v>146</v>
      </c>
      <c r="E105" s="7" t="s">
        <v>27</v>
      </c>
      <c r="F105" s="9" t="s">
        <v>155</v>
      </c>
      <c r="G105" s="2" t="s">
        <v>15</v>
      </c>
    </row>
    <row r="106" spans="1:7" ht="44.1" customHeight="1">
      <c r="A106" s="6" t="s">
        <v>126</v>
      </c>
      <c r="B106" s="9" t="s">
        <v>50</v>
      </c>
      <c r="C106" s="7" t="s">
        <v>11</v>
      </c>
      <c r="D106" s="8" t="s">
        <v>156</v>
      </c>
      <c r="E106" s="7" t="s">
        <v>27</v>
      </c>
      <c r="F106" s="9" t="s">
        <v>155</v>
      </c>
      <c r="G106" s="2" t="s">
        <v>15</v>
      </c>
    </row>
  </sheetData>
  <mergeCells count="3">
    <mergeCell ref="A1:G1"/>
    <mergeCell ref="A2:G2"/>
    <mergeCell ref="A3:G3"/>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
  <sheetViews>
    <sheetView workbookViewId="0">
      <pane ySplit="5" topLeftCell="A6" activePane="bottomLeft" state="frozen"/>
      <selection pane="bottomLeft"/>
    </sheetView>
  </sheetViews>
  <sheetFormatPr defaultRowHeight="14.25"/>
  <cols>
    <col min="1" max="1" width="20" customWidth="1"/>
    <col min="2" max="2" width="31" customWidth="1"/>
    <col min="3" max="3" width="19" customWidth="1"/>
    <col min="4" max="4" width="38" customWidth="1"/>
    <col min="5" max="5" width="19" customWidth="1"/>
    <col min="6" max="6" width="33" customWidth="1"/>
    <col min="7" max="7" width="57" customWidth="1"/>
  </cols>
  <sheetData>
    <row r="1" spans="1:7" ht="35.1" customHeight="1">
      <c r="A1" s="14" t="s">
        <v>157</v>
      </c>
      <c r="B1" s="14"/>
      <c r="C1" s="14"/>
      <c r="D1" s="14"/>
      <c r="E1" s="14"/>
      <c r="F1" s="14"/>
      <c r="G1" s="14"/>
    </row>
    <row r="2" spans="1:7" ht="29.1" customHeight="1">
      <c r="A2" s="15" t="s">
        <v>158</v>
      </c>
      <c r="B2" s="15"/>
      <c r="C2" s="15"/>
      <c r="D2" s="15"/>
      <c r="E2" s="15"/>
      <c r="F2" s="15"/>
      <c r="G2" s="15"/>
    </row>
    <row r="3" spans="1:7" ht="24.95" customHeight="1">
      <c r="A3" s="16" t="s">
        <v>2</v>
      </c>
      <c r="B3" s="16"/>
      <c r="C3" s="16"/>
      <c r="D3" s="16"/>
      <c r="E3" s="16"/>
      <c r="F3" s="16"/>
      <c r="G3" s="16"/>
    </row>
    <row r="5" spans="1:7" ht="36" customHeight="1">
      <c r="A5" s="11" t="s">
        <v>3</v>
      </c>
      <c r="B5" s="11" t="s">
        <v>4</v>
      </c>
      <c r="C5" s="11" t="s">
        <v>5</v>
      </c>
      <c r="D5" s="11" t="s">
        <v>6</v>
      </c>
      <c r="E5" s="11" t="s">
        <v>373</v>
      </c>
      <c r="F5" s="11" t="s">
        <v>7</v>
      </c>
      <c r="G5" s="11" t="s">
        <v>8</v>
      </c>
    </row>
    <row r="6" spans="1:7" ht="44.1" customHeight="1">
      <c r="A6" s="3" t="s">
        <v>9</v>
      </c>
      <c r="B6" s="9" t="s">
        <v>10</v>
      </c>
      <c r="C6" s="7" t="s">
        <v>11</v>
      </c>
      <c r="D6" s="8" t="s">
        <v>12</v>
      </c>
      <c r="E6" s="7" t="s">
        <v>13</v>
      </c>
      <c r="F6" s="9" t="s">
        <v>14</v>
      </c>
      <c r="G6" s="2" t="s">
        <v>15</v>
      </c>
    </row>
    <row r="7" spans="1:7" ht="44.1" customHeight="1">
      <c r="A7" s="3" t="s">
        <v>9</v>
      </c>
      <c r="B7" s="9" t="s">
        <v>16</v>
      </c>
      <c r="C7" s="7" t="s">
        <v>11</v>
      </c>
      <c r="D7" s="8" t="s">
        <v>17</v>
      </c>
      <c r="E7" s="7" t="s">
        <v>13</v>
      </c>
      <c r="F7" s="9" t="s">
        <v>18</v>
      </c>
      <c r="G7" s="2" t="s">
        <v>15</v>
      </c>
    </row>
    <row r="8" spans="1:7" ht="44.1" customHeight="1">
      <c r="A8" s="3" t="s">
        <v>9</v>
      </c>
      <c r="B8" s="9" t="s">
        <v>19</v>
      </c>
      <c r="C8" s="7" t="s">
        <v>13</v>
      </c>
      <c r="D8" s="8" t="s">
        <v>20</v>
      </c>
      <c r="E8" s="7" t="s">
        <v>13</v>
      </c>
      <c r="F8" s="9" t="s">
        <v>16</v>
      </c>
      <c r="G8" s="2" t="s">
        <v>15</v>
      </c>
    </row>
    <row r="9" spans="1:7" ht="44.1" customHeight="1">
      <c r="A9" s="3" t="s">
        <v>9</v>
      </c>
      <c r="B9" s="9" t="s">
        <v>21</v>
      </c>
      <c r="C9" s="7" t="s">
        <v>11</v>
      </c>
      <c r="D9" s="8" t="s">
        <v>22</v>
      </c>
      <c r="E9" s="7" t="s">
        <v>13</v>
      </c>
      <c r="F9" s="9" t="s">
        <v>23</v>
      </c>
      <c r="G9" s="2" t="s">
        <v>15</v>
      </c>
    </row>
    <row r="10" spans="1:7" ht="44.1" customHeight="1">
      <c r="A10" s="3" t="s">
        <v>9</v>
      </c>
      <c r="B10" s="9" t="s">
        <v>24</v>
      </c>
      <c r="C10" s="7" t="s">
        <v>11</v>
      </c>
      <c r="D10" s="8" t="s">
        <v>22</v>
      </c>
      <c r="E10" s="7" t="s">
        <v>13</v>
      </c>
      <c r="F10" s="9" t="s">
        <v>25</v>
      </c>
      <c r="G10" s="2" t="s">
        <v>15</v>
      </c>
    </row>
  </sheetData>
  <mergeCells count="3">
    <mergeCell ref="A1:G1"/>
    <mergeCell ref="A2:G2"/>
    <mergeCell ref="A3:G3"/>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8"/>
  <sheetViews>
    <sheetView workbookViewId="0">
      <pane ySplit="5" topLeftCell="A6" activePane="bottomLeft" state="frozen"/>
      <selection pane="bottomLeft"/>
    </sheetView>
  </sheetViews>
  <sheetFormatPr defaultRowHeight="14.25"/>
  <cols>
    <col min="1" max="1" width="20" customWidth="1"/>
    <col min="2" max="2" width="31" customWidth="1"/>
    <col min="3" max="3" width="19" customWidth="1"/>
    <col min="4" max="4" width="38" customWidth="1"/>
    <col min="5" max="5" width="19" customWidth="1"/>
    <col min="6" max="6" width="33" customWidth="1"/>
    <col min="7" max="7" width="57" customWidth="1"/>
  </cols>
  <sheetData>
    <row r="1" spans="1:7" ht="35.1" customHeight="1">
      <c r="A1" s="14" t="s">
        <v>159</v>
      </c>
      <c r="B1" s="14"/>
      <c r="C1" s="14"/>
      <c r="D1" s="14"/>
      <c r="E1" s="14"/>
      <c r="F1" s="14"/>
      <c r="G1" s="14"/>
    </row>
    <row r="2" spans="1:7" ht="29.1" customHeight="1">
      <c r="A2" s="15" t="s">
        <v>160</v>
      </c>
      <c r="B2" s="15"/>
      <c r="C2" s="15"/>
      <c r="D2" s="15"/>
      <c r="E2" s="15"/>
      <c r="F2" s="15"/>
      <c r="G2" s="15"/>
    </row>
    <row r="3" spans="1:7" ht="24.95" customHeight="1">
      <c r="A3" s="16" t="s">
        <v>2</v>
      </c>
      <c r="B3" s="16"/>
      <c r="C3" s="16"/>
      <c r="D3" s="16"/>
      <c r="E3" s="16"/>
      <c r="F3" s="16"/>
      <c r="G3" s="16"/>
    </row>
    <row r="5" spans="1:7" ht="36" customHeight="1">
      <c r="A5" s="11" t="s">
        <v>3</v>
      </c>
      <c r="B5" s="11" t="s">
        <v>4</v>
      </c>
      <c r="C5" s="11" t="s">
        <v>5</v>
      </c>
      <c r="D5" s="11" t="s">
        <v>6</v>
      </c>
      <c r="E5" s="11" t="s">
        <v>373</v>
      </c>
      <c r="F5" s="11" t="s">
        <v>7</v>
      </c>
      <c r="G5" s="11" t="s">
        <v>8</v>
      </c>
    </row>
    <row r="6" spans="1:7" ht="44.1" customHeight="1">
      <c r="A6" s="4" t="s">
        <v>26</v>
      </c>
      <c r="B6" s="9" t="s">
        <v>16</v>
      </c>
      <c r="C6" s="7" t="s">
        <v>27</v>
      </c>
      <c r="D6" s="8" t="s">
        <v>28</v>
      </c>
      <c r="E6" s="7" t="s">
        <v>27</v>
      </c>
      <c r="F6" s="9" t="s">
        <v>29</v>
      </c>
      <c r="G6" s="2" t="s">
        <v>30</v>
      </c>
    </row>
    <row r="7" spans="1:7" ht="44.1" customHeight="1">
      <c r="A7" s="4" t="s">
        <v>26</v>
      </c>
      <c r="B7" s="9" t="s">
        <v>16</v>
      </c>
      <c r="C7" s="7" t="s">
        <v>27</v>
      </c>
      <c r="D7" s="8" t="s">
        <v>31</v>
      </c>
      <c r="E7" s="7" t="s">
        <v>27</v>
      </c>
      <c r="F7" s="9" t="s">
        <v>32</v>
      </c>
      <c r="G7" s="2" t="s">
        <v>33</v>
      </c>
    </row>
    <row r="8" spans="1:7" ht="44.1" customHeight="1">
      <c r="A8" s="4" t="s">
        <v>26</v>
      </c>
      <c r="B8" s="9" t="s">
        <v>32</v>
      </c>
      <c r="C8" s="7" t="s">
        <v>27</v>
      </c>
      <c r="D8" s="8" t="s">
        <v>34</v>
      </c>
      <c r="E8" s="7" t="s">
        <v>27</v>
      </c>
      <c r="F8" s="9" t="s">
        <v>35</v>
      </c>
      <c r="G8" s="2" t="s">
        <v>36</v>
      </c>
    </row>
    <row r="9" spans="1:7" ht="44.1" customHeight="1">
      <c r="A9" s="4" t="s">
        <v>26</v>
      </c>
      <c r="B9" s="9" t="s">
        <v>24</v>
      </c>
      <c r="C9" s="7" t="s">
        <v>27</v>
      </c>
      <c r="D9" s="8" t="s">
        <v>37</v>
      </c>
      <c r="E9" s="7" t="s">
        <v>27</v>
      </c>
      <c r="F9" s="9" t="s">
        <v>38</v>
      </c>
      <c r="G9" s="2" t="s">
        <v>39</v>
      </c>
    </row>
    <row r="10" spans="1:7" ht="44.1" customHeight="1">
      <c r="A10" s="4" t="s">
        <v>26</v>
      </c>
      <c r="B10" s="9" t="s">
        <v>19</v>
      </c>
      <c r="C10" s="7" t="s">
        <v>27</v>
      </c>
      <c r="D10" s="8" t="s">
        <v>40</v>
      </c>
      <c r="E10" s="7" t="s">
        <v>27</v>
      </c>
      <c r="F10" s="9" t="s">
        <v>29</v>
      </c>
      <c r="G10" s="2" t="s">
        <v>41</v>
      </c>
    </row>
    <row r="11" spans="1:7" ht="44.1" customHeight="1">
      <c r="A11" s="4" t="s">
        <v>26</v>
      </c>
      <c r="B11" s="9" t="s">
        <v>19</v>
      </c>
      <c r="C11" s="7" t="s">
        <v>27</v>
      </c>
      <c r="D11" s="8" t="s">
        <v>42</v>
      </c>
      <c r="E11" s="7" t="s">
        <v>27</v>
      </c>
      <c r="F11" s="9" t="s">
        <v>32</v>
      </c>
      <c r="G11" s="2" t="s">
        <v>43</v>
      </c>
    </row>
    <row r="12" spans="1:7" ht="44.1" customHeight="1">
      <c r="A12" s="4" t="s">
        <v>26</v>
      </c>
      <c r="B12" s="9" t="s">
        <v>19</v>
      </c>
      <c r="C12" s="7" t="s">
        <v>27</v>
      </c>
      <c r="D12" s="8" t="s">
        <v>44</v>
      </c>
      <c r="E12" s="7" t="s">
        <v>27</v>
      </c>
      <c r="F12" s="9" t="s">
        <v>35</v>
      </c>
      <c r="G12" s="2" t="s">
        <v>45</v>
      </c>
    </row>
    <row r="13" spans="1:7" ht="44.1" customHeight="1">
      <c r="A13" s="4" t="s">
        <v>26</v>
      </c>
      <c r="B13" s="9" t="s">
        <v>32</v>
      </c>
      <c r="C13" s="7" t="s">
        <v>27</v>
      </c>
      <c r="D13" s="8" t="s">
        <v>46</v>
      </c>
      <c r="E13" s="7" t="s">
        <v>27</v>
      </c>
      <c r="F13" s="9" t="s">
        <v>47</v>
      </c>
      <c r="G13" s="2" t="s">
        <v>48</v>
      </c>
    </row>
    <row r="14" spans="1:7" ht="44.1" customHeight="1">
      <c r="A14" s="4" t="s">
        <v>26</v>
      </c>
      <c r="B14" s="9" t="s">
        <v>14</v>
      </c>
      <c r="C14" s="7" t="s">
        <v>27</v>
      </c>
      <c r="D14" s="8" t="s">
        <v>49</v>
      </c>
      <c r="E14" s="7" t="s">
        <v>27</v>
      </c>
      <c r="F14" s="9" t="s">
        <v>50</v>
      </c>
      <c r="G14" s="2" t="s">
        <v>51</v>
      </c>
    </row>
    <row r="15" spans="1:7" ht="44.1" customHeight="1">
      <c r="A15" s="4" t="s">
        <v>26</v>
      </c>
      <c r="B15" s="9" t="s">
        <v>29</v>
      </c>
      <c r="C15" s="7" t="s">
        <v>27</v>
      </c>
      <c r="D15" s="8" t="s">
        <v>49</v>
      </c>
      <c r="E15" s="7" t="s">
        <v>27</v>
      </c>
      <c r="F15" s="9" t="s">
        <v>50</v>
      </c>
      <c r="G15" s="2" t="s">
        <v>51</v>
      </c>
    </row>
    <row r="16" spans="1:7" ht="44.1" customHeight="1">
      <c r="A16" s="4" t="s">
        <v>26</v>
      </c>
      <c r="B16" s="9" t="s">
        <v>52</v>
      </c>
      <c r="C16" s="7" t="s">
        <v>27</v>
      </c>
      <c r="D16" s="8" t="s">
        <v>49</v>
      </c>
      <c r="E16" s="7" t="s">
        <v>27</v>
      </c>
      <c r="F16" s="9" t="s">
        <v>50</v>
      </c>
      <c r="G16" s="2" t="s">
        <v>51</v>
      </c>
    </row>
    <row r="17" spans="1:7" ht="44.1" customHeight="1">
      <c r="A17" s="4" t="s">
        <v>26</v>
      </c>
      <c r="B17" s="9" t="s">
        <v>53</v>
      </c>
      <c r="C17" s="7" t="s">
        <v>27</v>
      </c>
      <c r="D17" s="8" t="s">
        <v>49</v>
      </c>
      <c r="E17" s="7" t="s">
        <v>27</v>
      </c>
      <c r="F17" s="9" t="s">
        <v>50</v>
      </c>
      <c r="G17" s="2" t="s">
        <v>51</v>
      </c>
    </row>
    <row r="18" spans="1:7" ht="44.1" customHeight="1">
      <c r="A18" s="4" t="s">
        <v>26</v>
      </c>
      <c r="B18" s="9" t="s">
        <v>54</v>
      </c>
      <c r="C18" s="7" t="s">
        <v>27</v>
      </c>
      <c r="D18" s="8" t="s">
        <v>49</v>
      </c>
      <c r="E18" s="7" t="s">
        <v>27</v>
      </c>
      <c r="F18" s="9" t="s">
        <v>50</v>
      </c>
      <c r="G18" s="2" t="s">
        <v>51</v>
      </c>
    </row>
  </sheetData>
  <mergeCells count="3">
    <mergeCell ref="A1:G1"/>
    <mergeCell ref="A2:G2"/>
    <mergeCell ref="A3:G3"/>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0"/>
  <sheetViews>
    <sheetView workbookViewId="0">
      <pane ySplit="5" topLeftCell="A6" activePane="bottomLeft" state="frozen"/>
      <selection pane="bottomLeft"/>
    </sheetView>
  </sheetViews>
  <sheetFormatPr defaultRowHeight="14.25"/>
  <cols>
    <col min="1" max="1" width="20" customWidth="1"/>
    <col min="2" max="2" width="31" customWidth="1"/>
    <col min="3" max="3" width="19" customWidth="1"/>
    <col min="4" max="4" width="38" customWidth="1"/>
    <col min="5" max="5" width="19" customWidth="1"/>
    <col min="6" max="6" width="33" customWidth="1"/>
    <col min="7" max="7" width="57" customWidth="1"/>
  </cols>
  <sheetData>
    <row r="1" spans="1:7" ht="35.1" customHeight="1">
      <c r="A1" s="14" t="s">
        <v>161</v>
      </c>
      <c r="B1" s="14"/>
      <c r="C1" s="14"/>
      <c r="D1" s="14"/>
      <c r="E1" s="14"/>
      <c r="F1" s="14"/>
      <c r="G1" s="14"/>
    </row>
    <row r="2" spans="1:7" ht="29.1" customHeight="1">
      <c r="A2" s="15" t="s">
        <v>162</v>
      </c>
      <c r="B2" s="15"/>
      <c r="C2" s="15"/>
      <c r="D2" s="15"/>
      <c r="E2" s="15"/>
      <c r="F2" s="15"/>
      <c r="G2" s="15"/>
    </row>
    <row r="3" spans="1:7" ht="24.95" customHeight="1">
      <c r="A3" s="16" t="s">
        <v>2</v>
      </c>
      <c r="B3" s="16"/>
      <c r="C3" s="16"/>
      <c r="D3" s="16"/>
      <c r="E3" s="16"/>
      <c r="F3" s="16"/>
      <c r="G3" s="16"/>
    </row>
    <row r="5" spans="1:7" ht="36" customHeight="1">
      <c r="A5" s="11" t="s">
        <v>3</v>
      </c>
      <c r="B5" s="11" t="s">
        <v>4</v>
      </c>
      <c r="C5" s="11" t="s">
        <v>5</v>
      </c>
      <c r="D5" s="11" t="s">
        <v>6</v>
      </c>
      <c r="E5" s="11" t="s">
        <v>373</v>
      </c>
      <c r="F5" s="11" t="s">
        <v>7</v>
      </c>
      <c r="G5" s="11" t="s">
        <v>8</v>
      </c>
    </row>
    <row r="6" spans="1:7" ht="44.1" customHeight="1">
      <c r="A6" s="5" t="s">
        <v>55</v>
      </c>
      <c r="B6" s="9" t="s">
        <v>10</v>
      </c>
      <c r="C6" s="7" t="s">
        <v>13</v>
      </c>
      <c r="D6" s="8" t="s">
        <v>56</v>
      </c>
      <c r="E6" s="7" t="s">
        <v>27</v>
      </c>
      <c r="F6" s="9" t="s">
        <v>16</v>
      </c>
      <c r="G6" s="2" t="s">
        <v>15</v>
      </c>
    </row>
    <row r="7" spans="1:7" ht="44.1" customHeight="1">
      <c r="A7" s="5" t="s">
        <v>55</v>
      </c>
      <c r="B7" s="9" t="s">
        <v>10</v>
      </c>
      <c r="C7" s="7" t="s">
        <v>11</v>
      </c>
      <c r="D7" s="8" t="s">
        <v>57</v>
      </c>
      <c r="E7" s="7" t="s">
        <v>27</v>
      </c>
      <c r="F7" s="9" t="s">
        <v>58</v>
      </c>
      <c r="G7" s="2" t="s">
        <v>15</v>
      </c>
    </row>
    <row r="8" spans="1:7" ht="44.1" customHeight="1">
      <c r="A8" s="5" t="s">
        <v>55</v>
      </c>
      <c r="B8" s="9" t="s">
        <v>10</v>
      </c>
      <c r="C8" s="7" t="s">
        <v>11</v>
      </c>
      <c r="D8" s="8" t="s">
        <v>59</v>
      </c>
      <c r="E8" s="7" t="s">
        <v>27</v>
      </c>
      <c r="F8" s="9" t="s">
        <v>60</v>
      </c>
      <c r="G8" s="2" t="s">
        <v>15</v>
      </c>
    </row>
    <row r="9" spans="1:7" ht="44.1" customHeight="1">
      <c r="A9" s="5" t="s">
        <v>55</v>
      </c>
      <c r="B9" s="9" t="s">
        <v>10</v>
      </c>
      <c r="C9" s="7" t="s">
        <v>11</v>
      </c>
      <c r="D9" s="8" t="s">
        <v>61</v>
      </c>
      <c r="E9" s="7" t="s">
        <v>27</v>
      </c>
      <c r="F9" s="9" t="s">
        <v>18</v>
      </c>
      <c r="G9" s="2" t="s">
        <v>15</v>
      </c>
    </row>
    <row r="10" spans="1:7" ht="44.1" customHeight="1">
      <c r="A10" s="5" t="s">
        <v>55</v>
      </c>
      <c r="B10" s="9" t="s">
        <v>10</v>
      </c>
      <c r="C10" s="7" t="s">
        <v>11</v>
      </c>
      <c r="D10" s="8" t="s">
        <v>62</v>
      </c>
      <c r="E10" s="7" t="s">
        <v>27</v>
      </c>
      <c r="F10" s="9" t="s">
        <v>63</v>
      </c>
      <c r="G10" s="2" t="s">
        <v>15</v>
      </c>
    </row>
    <row r="11" spans="1:7" ht="44.1" customHeight="1">
      <c r="A11" s="5" t="s">
        <v>55</v>
      </c>
      <c r="B11" s="9" t="s">
        <v>10</v>
      </c>
      <c r="C11" s="7" t="s">
        <v>11</v>
      </c>
      <c r="D11" s="8" t="s">
        <v>64</v>
      </c>
      <c r="E11" s="7" t="s">
        <v>27</v>
      </c>
      <c r="F11" s="9" t="s">
        <v>65</v>
      </c>
      <c r="G11" s="2" t="s">
        <v>15</v>
      </c>
    </row>
    <row r="12" spans="1:7" ht="44.1" customHeight="1">
      <c r="A12" s="5" t="s">
        <v>55</v>
      </c>
      <c r="B12" s="9" t="s">
        <v>10</v>
      </c>
      <c r="C12" s="7" t="s">
        <v>11</v>
      </c>
      <c r="D12" s="8" t="s">
        <v>66</v>
      </c>
      <c r="E12" s="7" t="s">
        <v>27</v>
      </c>
      <c r="F12" s="9" t="s">
        <v>54</v>
      </c>
      <c r="G12" s="2" t="s">
        <v>15</v>
      </c>
    </row>
    <row r="13" spans="1:7" ht="44.1" customHeight="1">
      <c r="A13" s="5" t="s">
        <v>55</v>
      </c>
      <c r="B13" s="9" t="s">
        <v>67</v>
      </c>
      <c r="C13" s="7" t="s">
        <v>13</v>
      </c>
      <c r="D13" s="8" t="s">
        <v>68</v>
      </c>
      <c r="E13" s="7" t="s">
        <v>27</v>
      </c>
      <c r="F13" s="9" t="s">
        <v>69</v>
      </c>
      <c r="G13" s="2" t="s">
        <v>15</v>
      </c>
    </row>
    <row r="14" spans="1:7" ht="44.1" customHeight="1">
      <c r="A14" s="5" t="s">
        <v>55</v>
      </c>
      <c r="B14" s="9" t="s">
        <v>10</v>
      </c>
      <c r="C14" s="7" t="s">
        <v>11</v>
      </c>
      <c r="D14" s="8" t="s">
        <v>70</v>
      </c>
      <c r="E14" s="7" t="s">
        <v>27</v>
      </c>
      <c r="F14" s="9" t="s">
        <v>71</v>
      </c>
      <c r="G14" s="2" t="s">
        <v>15</v>
      </c>
    </row>
    <row r="15" spans="1:7" ht="44.1" customHeight="1">
      <c r="A15" s="5" t="s">
        <v>55</v>
      </c>
      <c r="B15" s="9" t="s">
        <v>10</v>
      </c>
      <c r="C15" s="7" t="s">
        <v>13</v>
      </c>
      <c r="D15" s="8" t="s">
        <v>72</v>
      </c>
      <c r="E15" s="7" t="s">
        <v>27</v>
      </c>
      <c r="F15" s="9" t="s">
        <v>73</v>
      </c>
      <c r="G15" s="2" t="s">
        <v>15</v>
      </c>
    </row>
    <row r="16" spans="1:7" ht="44.1" customHeight="1">
      <c r="A16" s="5" t="s">
        <v>55</v>
      </c>
      <c r="B16" s="9" t="s">
        <v>67</v>
      </c>
      <c r="C16" s="7" t="s">
        <v>13</v>
      </c>
      <c r="D16" s="8" t="s">
        <v>74</v>
      </c>
      <c r="E16" s="7" t="s">
        <v>27</v>
      </c>
      <c r="F16" s="9" t="s">
        <v>65</v>
      </c>
      <c r="G16" s="2" t="s">
        <v>15</v>
      </c>
    </row>
    <row r="17" spans="1:7" ht="44.1" customHeight="1">
      <c r="A17" s="5" t="s">
        <v>55</v>
      </c>
      <c r="B17" s="9" t="s">
        <v>75</v>
      </c>
      <c r="C17" s="7" t="s">
        <v>11</v>
      </c>
      <c r="D17" s="8" t="s">
        <v>76</v>
      </c>
      <c r="E17" s="7" t="s">
        <v>27</v>
      </c>
      <c r="F17" s="9" t="s">
        <v>19</v>
      </c>
      <c r="G17" s="2" t="s">
        <v>15</v>
      </c>
    </row>
    <row r="18" spans="1:7" ht="44.1" customHeight="1">
      <c r="A18" s="5" t="s">
        <v>55</v>
      </c>
      <c r="B18" s="9" t="s">
        <v>10</v>
      </c>
      <c r="C18" s="7" t="s">
        <v>11</v>
      </c>
      <c r="D18" s="8" t="s">
        <v>77</v>
      </c>
      <c r="E18" s="7" t="s">
        <v>27</v>
      </c>
      <c r="F18" s="9" t="s">
        <v>50</v>
      </c>
      <c r="G18" s="2" t="s">
        <v>15</v>
      </c>
    </row>
    <row r="19" spans="1:7" ht="44.1" customHeight="1">
      <c r="A19" s="5" t="s">
        <v>55</v>
      </c>
      <c r="B19" s="9" t="s">
        <v>67</v>
      </c>
      <c r="C19" s="7" t="s">
        <v>13</v>
      </c>
      <c r="D19" s="8" t="s">
        <v>78</v>
      </c>
      <c r="E19" s="7" t="s">
        <v>27</v>
      </c>
      <c r="F19" s="9" t="s">
        <v>18</v>
      </c>
      <c r="G19" s="2" t="s">
        <v>15</v>
      </c>
    </row>
    <row r="20" spans="1:7" ht="44.1" customHeight="1">
      <c r="A20" s="5" t="s">
        <v>55</v>
      </c>
      <c r="B20" s="9" t="s">
        <v>75</v>
      </c>
      <c r="C20" s="7" t="s">
        <v>11</v>
      </c>
      <c r="D20" s="8" t="s">
        <v>79</v>
      </c>
      <c r="E20" s="7" t="s">
        <v>27</v>
      </c>
      <c r="F20" s="9" t="s">
        <v>80</v>
      </c>
      <c r="G20" s="2" t="s">
        <v>15</v>
      </c>
    </row>
    <row r="21" spans="1:7" ht="44.1" customHeight="1">
      <c r="A21" s="5" t="s">
        <v>55</v>
      </c>
      <c r="B21" s="9" t="s">
        <v>75</v>
      </c>
      <c r="C21" s="7" t="s">
        <v>11</v>
      </c>
      <c r="D21" s="8" t="s">
        <v>81</v>
      </c>
      <c r="E21" s="7" t="s">
        <v>27</v>
      </c>
      <c r="F21" s="9" t="s">
        <v>82</v>
      </c>
      <c r="G21" s="2" t="s">
        <v>15</v>
      </c>
    </row>
    <row r="22" spans="1:7" ht="44.1" customHeight="1">
      <c r="A22" s="5" t="s">
        <v>55</v>
      </c>
      <c r="B22" s="9" t="s">
        <v>14</v>
      </c>
      <c r="C22" s="7" t="s">
        <v>11</v>
      </c>
      <c r="D22" s="8" t="s">
        <v>83</v>
      </c>
      <c r="E22" s="7" t="s">
        <v>27</v>
      </c>
      <c r="F22" s="9" t="s">
        <v>29</v>
      </c>
      <c r="G22" s="2" t="s">
        <v>15</v>
      </c>
    </row>
    <row r="23" spans="1:7" ht="44.1" customHeight="1">
      <c r="A23" s="5" t="s">
        <v>55</v>
      </c>
      <c r="B23" s="9" t="s">
        <v>14</v>
      </c>
      <c r="C23" s="7" t="s">
        <v>11</v>
      </c>
      <c r="D23" s="8" t="s">
        <v>84</v>
      </c>
      <c r="E23" s="7" t="s">
        <v>27</v>
      </c>
      <c r="F23" s="9" t="s">
        <v>52</v>
      </c>
      <c r="G23" s="2" t="s">
        <v>15</v>
      </c>
    </row>
    <row r="24" spans="1:7" ht="44.1" customHeight="1">
      <c r="A24" s="5" t="s">
        <v>55</v>
      </c>
      <c r="B24" s="9" t="s">
        <v>14</v>
      </c>
      <c r="C24" s="7" t="s">
        <v>11</v>
      </c>
      <c r="D24" s="8" t="s">
        <v>12</v>
      </c>
      <c r="E24" s="7" t="s">
        <v>27</v>
      </c>
      <c r="F24" s="9" t="s">
        <v>35</v>
      </c>
      <c r="G24" s="2" t="s">
        <v>15</v>
      </c>
    </row>
    <row r="25" spans="1:7" ht="44.1" customHeight="1">
      <c r="A25" s="5" t="s">
        <v>55</v>
      </c>
      <c r="B25" s="9" t="s">
        <v>14</v>
      </c>
      <c r="C25" s="7" t="s">
        <v>11</v>
      </c>
      <c r="D25" s="8" t="s">
        <v>85</v>
      </c>
      <c r="E25" s="7" t="s">
        <v>27</v>
      </c>
      <c r="F25" s="9" t="s">
        <v>53</v>
      </c>
      <c r="G25" s="2" t="s">
        <v>15</v>
      </c>
    </row>
    <row r="26" spans="1:7" ht="44.1" customHeight="1">
      <c r="A26" s="5" t="s">
        <v>55</v>
      </c>
      <c r="B26" s="9" t="s">
        <v>14</v>
      </c>
      <c r="C26" s="7" t="s">
        <v>11</v>
      </c>
      <c r="D26" s="8" t="s">
        <v>86</v>
      </c>
      <c r="E26" s="7" t="s">
        <v>27</v>
      </c>
      <c r="F26" s="9" t="s">
        <v>16</v>
      </c>
      <c r="G26" s="2" t="s">
        <v>15</v>
      </c>
    </row>
    <row r="27" spans="1:7" ht="44.1" customHeight="1">
      <c r="A27" s="5" t="s">
        <v>55</v>
      </c>
      <c r="B27" s="9" t="s">
        <v>14</v>
      </c>
      <c r="C27" s="7" t="s">
        <v>11</v>
      </c>
      <c r="D27" s="8" t="s">
        <v>87</v>
      </c>
      <c r="E27" s="7" t="s">
        <v>27</v>
      </c>
      <c r="F27" s="9" t="s">
        <v>58</v>
      </c>
      <c r="G27" s="2" t="s">
        <v>15</v>
      </c>
    </row>
    <row r="28" spans="1:7" ht="44.1" customHeight="1">
      <c r="A28" s="5" t="s">
        <v>55</v>
      </c>
      <c r="B28" s="9" t="s">
        <v>14</v>
      </c>
      <c r="C28" s="7" t="s">
        <v>11</v>
      </c>
      <c r="D28" s="8" t="s">
        <v>88</v>
      </c>
      <c r="E28" s="7" t="s">
        <v>27</v>
      </c>
      <c r="F28" s="9" t="s">
        <v>71</v>
      </c>
      <c r="G28" s="2" t="s">
        <v>15</v>
      </c>
    </row>
    <row r="29" spans="1:7" ht="44.1" customHeight="1">
      <c r="A29" s="5" t="s">
        <v>55</v>
      </c>
      <c r="B29" s="9" t="s">
        <v>14</v>
      </c>
      <c r="C29" s="7" t="s">
        <v>13</v>
      </c>
      <c r="D29" s="8" t="s">
        <v>89</v>
      </c>
      <c r="E29" s="7" t="s">
        <v>27</v>
      </c>
      <c r="F29" s="9" t="s">
        <v>54</v>
      </c>
      <c r="G29" s="2" t="s">
        <v>15</v>
      </c>
    </row>
    <row r="30" spans="1:7" ht="44.1" customHeight="1">
      <c r="A30" s="5" t="s">
        <v>55</v>
      </c>
      <c r="B30" s="9" t="s">
        <v>14</v>
      </c>
      <c r="C30" s="7" t="s">
        <v>11</v>
      </c>
      <c r="D30" s="8" t="s">
        <v>90</v>
      </c>
      <c r="E30" s="7" t="s">
        <v>27</v>
      </c>
      <c r="F30" s="9" t="s">
        <v>69</v>
      </c>
      <c r="G30" s="2" t="s">
        <v>15</v>
      </c>
    </row>
    <row r="31" spans="1:7" ht="44.1" customHeight="1">
      <c r="A31" s="5" t="s">
        <v>55</v>
      </c>
      <c r="B31" s="9" t="s">
        <v>14</v>
      </c>
      <c r="C31" s="7" t="s">
        <v>13</v>
      </c>
      <c r="D31" s="8" t="s">
        <v>91</v>
      </c>
      <c r="E31" s="7" t="s">
        <v>27</v>
      </c>
      <c r="F31" s="9" t="s">
        <v>65</v>
      </c>
      <c r="G31" s="2" t="s">
        <v>15</v>
      </c>
    </row>
    <row r="32" spans="1:7" ht="44.1" customHeight="1">
      <c r="A32" s="5" t="s">
        <v>55</v>
      </c>
      <c r="B32" s="9" t="s">
        <v>92</v>
      </c>
      <c r="C32" s="7" t="s">
        <v>11</v>
      </c>
      <c r="D32" s="8" t="s">
        <v>93</v>
      </c>
      <c r="E32" s="7" t="s">
        <v>27</v>
      </c>
      <c r="F32" s="9" t="s">
        <v>52</v>
      </c>
      <c r="G32" s="2" t="s">
        <v>15</v>
      </c>
    </row>
    <row r="33" spans="1:7" ht="44.1" customHeight="1">
      <c r="A33" s="5" t="s">
        <v>55</v>
      </c>
      <c r="B33" s="9" t="s">
        <v>52</v>
      </c>
      <c r="C33" s="7" t="s">
        <v>11</v>
      </c>
      <c r="D33" s="8" t="s">
        <v>94</v>
      </c>
      <c r="E33" s="7" t="s">
        <v>27</v>
      </c>
      <c r="F33" s="9" t="s">
        <v>32</v>
      </c>
      <c r="G33" s="2" t="s">
        <v>15</v>
      </c>
    </row>
    <row r="34" spans="1:7" ht="44.1" customHeight="1">
      <c r="A34" s="5" t="s">
        <v>55</v>
      </c>
      <c r="B34" s="9" t="s">
        <v>52</v>
      </c>
      <c r="C34" s="7" t="s">
        <v>11</v>
      </c>
      <c r="D34" s="8" t="s">
        <v>95</v>
      </c>
      <c r="E34" s="7" t="s">
        <v>27</v>
      </c>
      <c r="F34" s="9" t="s">
        <v>47</v>
      </c>
      <c r="G34" s="2" t="s">
        <v>15</v>
      </c>
    </row>
    <row r="35" spans="1:7" ht="44.1" customHeight="1">
      <c r="A35" s="5" t="s">
        <v>55</v>
      </c>
      <c r="B35" s="9" t="s">
        <v>47</v>
      </c>
      <c r="C35" s="7" t="s">
        <v>11</v>
      </c>
      <c r="D35" s="8" t="s">
        <v>96</v>
      </c>
      <c r="E35" s="7" t="s">
        <v>27</v>
      </c>
      <c r="F35" s="9" t="s">
        <v>38</v>
      </c>
      <c r="G35" s="2" t="s">
        <v>15</v>
      </c>
    </row>
    <row r="36" spans="1:7" ht="44.1" customHeight="1">
      <c r="A36" s="5" t="s">
        <v>55</v>
      </c>
      <c r="B36" s="9" t="s">
        <v>29</v>
      </c>
      <c r="C36" s="7" t="s">
        <v>11</v>
      </c>
      <c r="D36" s="8" t="s">
        <v>97</v>
      </c>
      <c r="E36" s="7" t="s">
        <v>27</v>
      </c>
      <c r="F36" s="9" t="s">
        <v>80</v>
      </c>
      <c r="G36" s="2" t="s">
        <v>15</v>
      </c>
    </row>
    <row r="37" spans="1:7" ht="44.1" customHeight="1">
      <c r="A37" s="5" t="s">
        <v>55</v>
      </c>
      <c r="B37" s="9" t="s">
        <v>35</v>
      </c>
      <c r="C37" s="7" t="s">
        <v>11</v>
      </c>
      <c r="D37" s="8" t="s">
        <v>98</v>
      </c>
      <c r="E37" s="7" t="s">
        <v>27</v>
      </c>
      <c r="F37" s="9" t="s">
        <v>82</v>
      </c>
      <c r="G37" s="2" t="s">
        <v>15</v>
      </c>
    </row>
    <row r="38" spans="1:7" ht="44.1" customHeight="1">
      <c r="A38" s="5" t="s">
        <v>55</v>
      </c>
      <c r="B38" s="9" t="s">
        <v>53</v>
      </c>
      <c r="C38" s="7" t="s">
        <v>11</v>
      </c>
      <c r="D38" s="8" t="s">
        <v>99</v>
      </c>
      <c r="E38" s="7" t="s">
        <v>27</v>
      </c>
      <c r="F38" s="9" t="s">
        <v>60</v>
      </c>
      <c r="G38" s="2" t="s">
        <v>15</v>
      </c>
    </row>
    <row r="39" spans="1:7" ht="44.1" customHeight="1">
      <c r="A39" s="5" t="s">
        <v>55</v>
      </c>
      <c r="B39" s="9" t="s">
        <v>16</v>
      </c>
      <c r="C39" s="7" t="s">
        <v>11</v>
      </c>
      <c r="D39" s="8" t="s">
        <v>100</v>
      </c>
      <c r="E39" s="7" t="s">
        <v>101</v>
      </c>
      <c r="F39" s="9" t="s">
        <v>73</v>
      </c>
      <c r="G39" s="2" t="s">
        <v>15</v>
      </c>
    </row>
    <row r="40" spans="1:7" ht="44.1" customHeight="1">
      <c r="A40" s="5" t="s">
        <v>55</v>
      </c>
      <c r="B40" s="9" t="s">
        <v>16</v>
      </c>
      <c r="C40" s="7" t="s">
        <v>13</v>
      </c>
      <c r="D40" s="8" t="s">
        <v>102</v>
      </c>
      <c r="E40" s="7" t="s">
        <v>27</v>
      </c>
      <c r="F40" s="9" t="s">
        <v>71</v>
      </c>
      <c r="G40" s="2" t="s">
        <v>15</v>
      </c>
    </row>
    <row r="41" spans="1:7" ht="44.1" customHeight="1">
      <c r="A41" s="5" t="s">
        <v>55</v>
      </c>
      <c r="B41" s="9" t="s">
        <v>16</v>
      </c>
      <c r="C41" s="7" t="s">
        <v>11</v>
      </c>
      <c r="D41" s="8" t="s">
        <v>103</v>
      </c>
      <c r="E41" s="7" t="s">
        <v>27</v>
      </c>
      <c r="F41" s="9" t="s">
        <v>104</v>
      </c>
      <c r="G41" s="2" t="s">
        <v>15</v>
      </c>
    </row>
    <row r="42" spans="1:7" ht="44.1" customHeight="1">
      <c r="A42" s="5" t="s">
        <v>55</v>
      </c>
      <c r="B42" s="9" t="s">
        <v>16</v>
      </c>
      <c r="C42" s="7" t="s">
        <v>13</v>
      </c>
      <c r="D42" s="8" t="s">
        <v>105</v>
      </c>
      <c r="E42" s="7" t="s">
        <v>27</v>
      </c>
      <c r="F42" s="9" t="s">
        <v>65</v>
      </c>
      <c r="G42" s="2" t="s">
        <v>15</v>
      </c>
    </row>
    <row r="43" spans="1:7" ht="44.1" customHeight="1">
      <c r="A43" s="5" t="s">
        <v>55</v>
      </c>
      <c r="B43" s="9" t="s">
        <v>104</v>
      </c>
      <c r="C43" s="7" t="s">
        <v>13</v>
      </c>
      <c r="D43" s="8" t="s">
        <v>106</v>
      </c>
      <c r="E43" s="7" t="s">
        <v>27</v>
      </c>
      <c r="F43" s="9" t="s">
        <v>71</v>
      </c>
      <c r="G43" s="2" t="s">
        <v>15</v>
      </c>
    </row>
    <row r="44" spans="1:7" ht="44.1" customHeight="1">
      <c r="A44" s="5" t="s">
        <v>55</v>
      </c>
      <c r="B44" s="9" t="s">
        <v>58</v>
      </c>
      <c r="C44" s="7" t="s">
        <v>11</v>
      </c>
      <c r="D44" s="8" t="s">
        <v>107</v>
      </c>
      <c r="E44" s="7" t="s">
        <v>27</v>
      </c>
      <c r="F44" s="9" t="s">
        <v>19</v>
      </c>
      <c r="G44" s="2" t="s">
        <v>15</v>
      </c>
    </row>
    <row r="45" spans="1:7" ht="44.1" customHeight="1">
      <c r="A45" s="5" t="s">
        <v>55</v>
      </c>
      <c r="B45" s="9" t="s">
        <v>52</v>
      </c>
      <c r="C45" s="7" t="s">
        <v>11</v>
      </c>
      <c r="D45" s="8" t="s">
        <v>108</v>
      </c>
      <c r="E45" s="7" t="s">
        <v>27</v>
      </c>
      <c r="F45" s="9" t="s">
        <v>109</v>
      </c>
      <c r="G45" s="2" t="s">
        <v>15</v>
      </c>
    </row>
    <row r="46" spans="1:7" ht="44.1" customHeight="1">
      <c r="A46" s="5" t="s">
        <v>55</v>
      </c>
      <c r="B46" s="9" t="s">
        <v>14</v>
      </c>
      <c r="C46" s="7" t="s">
        <v>11</v>
      </c>
      <c r="D46" s="8" t="s">
        <v>110</v>
      </c>
      <c r="E46" s="7" t="s">
        <v>27</v>
      </c>
      <c r="F46" s="9" t="s">
        <v>111</v>
      </c>
      <c r="G46" s="2" t="s">
        <v>15</v>
      </c>
    </row>
    <row r="47" spans="1:7" ht="44.1" customHeight="1">
      <c r="A47" s="5" t="s">
        <v>55</v>
      </c>
      <c r="B47" s="9" t="s">
        <v>29</v>
      </c>
      <c r="C47" s="7" t="s">
        <v>11</v>
      </c>
      <c r="D47" s="8" t="s">
        <v>110</v>
      </c>
      <c r="E47" s="7" t="s">
        <v>27</v>
      </c>
      <c r="F47" s="9" t="s">
        <v>112</v>
      </c>
      <c r="G47" s="2" t="s">
        <v>15</v>
      </c>
    </row>
    <row r="48" spans="1:7" ht="44.1" customHeight="1">
      <c r="A48" s="5" t="s">
        <v>55</v>
      </c>
      <c r="B48" s="9" t="s">
        <v>52</v>
      </c>
      <c r="C48" s="7" t="s">
        <v>11</v>
      </c>
      <c r="D48" s="8" t="s">
        <v>110</v>
      </c>
      <c r="E48" s="7" t="s">
        <v>27</v>
      </c>
      <c r="F48" s="9" t="s">
        <v>113</v>
      </c>
      <c r="G48" s="2" t="s">
        <v>15</v>
      </c>
    </row>
    <row r="49" spans="1:7" ht="44.1" customHeight="1">
      <c r="A49" s="5" t="s">
        <v>55</v>
      </c>
      <c r="B49" s="9" t="s">
        <v>53</v>
      </c>
      <c r="C49" s="7" t="s">
        <v>11</v>
      </c>
      <c r="D49" s="8" t="s">
        <v>110</v>
      </c>
      <c r="E49" s="7" t="s">
        <v>27</v>
      </c>
      <c r="F49" s="9" t="s">
        <v>114</v>
      </c>
      <c r="G49" s="2" t="s">
        <v>15</v>
      </c>
    </row>
    <row r="50" spans="1:7" ht="44.1" customHeight="1">
      <c r="A50" s="5" t="s">
        <v>55</v>
      </c>
      <c r="B50" s="9" t="s">
        <v>54</v>
      </c>
      <c r="C50" s="7" t="s">
        <v>11</v>
      </c>
      <c r="D50" s="8" t="s">
        <v>110</v>
      </c>
      <c r="E50" s="7" t="s">
        <v>27</v>
      </c>
      <c r="F50" s="9" t="s">
        <v>115</v>
      </c>
      <c r="G50" s="2" t="s">
        <v>15</v>
      </c>
    </row>
    <row r="51" spans="1:7" ht="44.1" customHeight="1">
      <c r="A51" s="5" t="s">
        <v>55</v>
      </c>
      <c r="B51" s="9" t="s">
        <v>10</v>
      </c>
      <c r="C51" s="7" t="s">
        <v>11</v>
      </c>
      <c r="D51" s="8" t="s">
        <v>116</v>
      </c>
      <c r="E51" s="7" t="s">
        <v>27</v>
      </c>
      <c r="F51" s="9" t="s">
        <v>111</v>
      </c>
      <c r="G51" s="2" t="s">
        <v>15</v>
      </c>
    </row>
    <row r="52" spans="1:7" ht="44.1" customHeight="1">
      <c r="A52" s="5" t="s">
        <v>55</v>
      </c>
      <c r="B52" s="9" t="s">
        <v>10</v>
      </c>
      <c r="C52" s="7" t="s">
        <v>11</v>
      </c>
      <c r="D52" s="8" t="s">
        <v>117</v>
      </c>
      <c r="E52" s="7" t="s">
        <v>27</v>
      </c>
      <c r="F52" s="9" t="s">
        <v>112</v>
      </c>
      <c r="G52" s="2" t="s">
        <v>15</v>
      </c>
    </row>
    <row r="53" spans="1:7" ht="44.1" customHeight="1">
      <c r="A53" s="5" t="s">
        <v>55</v>
      </c>
      <c r="B53" s="9" t="s">
        <v>10</v>
      </c>
      <c r="C53" s="7" t="s">
        <v>11</v>
      </c>
      <c r="D53" s="8" t="s">
        <v>118</v>
      </c>
      <c r="E53" s="7" t="s">
        <v>27</v>
      </c>
      <c r="F53" s="9" t="s">
        <v>113</v>
      </c>
      <c r="G53" s="2" t="s">
        <v>15</v>
      </c>
    </row>
    <row r="54" spans="1:7" ht="44.1" customHeight="1">
      <c r="A54" s="5" t="s">
        <v>55</v>
      </c>
      <c r="B54" s="9" t="s">
        <v>10</v>
      </c>
      <c r="C54" s="7" t="s">
        <v>11</v>
      </c>
      <c r="D54" s="8" t="s">
        <v>119</v>
      </c>
      <c r="E54" s="7" t="s">
        <v>27</v>
      </c>
      <c r="F54" s="9" t="s">
        <v>114</v>
      </c>
      <c r="G54" s="2" t="s">
        <v>15</v>
      </c>
    </row>
    <row r="55" spans="1:7" ht="44.1" customHeight="1">
      <c r="A55" s="5" t="s">
        <v>55</v>
      </c>
      <c r="B55" s="9" t="s">
        <v>10</v>
      </c>
      <c r="C55" s="7" t="s">
        <v>11</v>
      </c>
      <c r="D55" s="8" t="s">
        <v>120</v>
      </c>
      <c r="E55" s="7" t="s">
        <v>27</v>
      </c>
      <c r="F55" s="9" t="s">
        <v>115</v>
      </c>
      <c r="G55" s="2" t="s">
        <v>15</v>
      </c>
    </row>
    <row r="56" spans="1:7" ht="44.1" customHeight="1">
      <c r="A56" s="5" t="s">
        <v>55</v>
      </c>
      <c r="B56" s="9" t="s">
        <v>67</v>
      </c>
      <c r="C56" s="7" t="s">
        <v>13</v>
      </c>
      <c r="D56" s="8" t="s">
        <v>121</v>
      </c>
      <c r="E56" s="7" t="s">
        <v>27</v>
      </c>
      <c r="F56" s="9" t="s">
        <v>111</v>
      </c>
      <c r="G56" s="2" t="s">
        <v>15</v>
      </c>
    </row>
    <row r="57" spans="1:7" ht="44.1" customHeight="1">
      <c r="A57" s="5" t="s">
        <v>55</v>
      </c>
      <c r="B57" s="9" t="s">
        <v>67</v>
      </c>
      <c r="C57" s="7" t="s">
        <v>13</v>
      </c>
      <c r="D57" s="8" t="s">
        <v>122</v>
      </c>
      <c r="E57" s="7" t="s">
        <v>27</v>
      </c>
      <c r="F57" s="9" t="s">
        <v>112</v>
      </c>
      <c r="G57" s="2" t="s">
        <v>15</v>
      </c>
    </row>
    <row r="58" spans="1:7" ht="44.1" customHeight="1">
      <c r="A58" s="5" t="s">
        <v>55</v>
      </c>
      <c r="B58" s="9" t="s">
        <v>67</v>
      </c>
      <c r="C58" s="7" t="s">
        <v>13</v>
      </c>
      <c r="D58" s="8" t="s">
        <v>123</v>
      </c>
      <c r="E58" s="7" t="s">
        <v>27</v>
      </c>
      <c r="F58" s="9" t="s">
        <v>113</v>
      </c>
      <c r="G58" s="2" t="s">
        <v>15</v>
      </c>
    </row>
    <row r="59" spans="1:7" ht="44.1" customHeight="1">
      <c r="A59" s="5" t="s">
        <v>55</v>
      </c>
      <c r="B59" s="9" t="s">
        <v>67</v>
      </c>
      <c r="C59" s="7" t="s">
        <v>13</v>
      </c>
      <c r="D59" s="8" t="s">
        <v>124</v>
      </c>
      <c r="E59" s="7" t="s">
        <v>27</v>
      </c>
      <c r="F59" s="9" t="s">
        <v>114</v>
      </c>
      <c r="G59" s="2" t="s">
        <v>15</v>
      </c>
    </row>
    <row r="60" spans="1:7" ht="44.1" customHeight="1">
      <c r="A60" s="5" t="s">
        <v>55</v>
      </c>
      <c r="B60" s="9" t="s">
        <v>67</v>
      </c>
      <c r="C60" s="7" t="s">
        <v>13</v>
      </c>
      <c r="D60" s="8" t="s">
        <v>125</v>
      </c>
      <c r="E60" s="7" t="s">
        <v>27</v>
      </c>
      <c r="F60" s="9" t="s">
        <v>115</v>
      </c>
      <c r="G60" s="2" t="s">
        <v>15</v>
      </c>
    </row>
  </sheetData>
  <mergeCells count="3">
    <mergeCell ref="A1:G1"/>
    <mergeCell ref="A2:G2"/>
    <mergeCell ref="A3:G3"/>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3"/>
  <sheetViews>
    <sheetView workbookViewId="0">
      <pane ySplit="5" topLeftCell="A6" activePane="bottomLeft" state="frozen"/>
      <selection pane="bottomLeft"/>
    </sheetView>
  </sheetViews>
  <sheetFormatPr defaultRowHeight="14.25"/>
  <cols>
    <col min="1" max="1" width="20" customWidth="1"/>
    <col min="2" max="2" width="31" customWidth="1"/>
    <col min="3" max="3" width="19" customWidth="1"/>
    <col min="4" max="4" width="38" customWidth="1"/>
    <col min="5" max="5" width="19" customWidth="1"/>
    <col min="6" max="6" width="33" customWidth="1"/>
    <col min="7" max="7" width="57" customWidth="1"/>
  </cols>
  <sheetData>
    <row r="1" spans="1:7" ht="35.1" customHeight="1">
      <c r="A1" s="14" t="s">
        <v>163</v>
      </c>
      <c r="B1" s="14"/>
      <c r="C1" s="14"/>
      <c r="D1" s="14"/>
      <c r="E1" s="14"/>
      <c r="F1" s="14"/>
      <c r="G1" s="14"/>
    </row>
    <row r="2" spans="1:7" ht="29.1" customHeight="1">
      <c r="A2" s="15" t="s">
        <v>164</v>
      </c>
      <c r="B2" s="15"/>
      <c r="C2" s="15"/>
      <c r="D2" s="15"/>
      <c r="E2" s="15"/>
      <c r="F2" s="15"/>
      <c r="G2" s="15"/>
    </row>
    <row r="3" spans="1:7" ht="24.95" customHeight="1">
      <c r="A3" s="16" t="s">
        <v>2</v>
      </c>
      <c r="B3" s="16"/>
      <c r="C3" s="16"/>
      <c r="D3" s="16"/>
      <c r="E3" s="16"/>
      <c r="F3" s="16"/>
      <c r="G3" s="16"/>
    </row>
    <row r="5" spans="1:7" ht="36" customHeight="1">
      <c r="A5" s="11" t="s">
        <v>3</v>
      </c>
      <c r="B5" s="11" t="s">
        <v>4</v>
      </c>
      <c r="C5" s="11" t="s">
        <v>5</v>
      </c>
      <c r="D5" s="11" t="s">
        <v>6</v>
      </c>
      <c r="E5" s="11" t="s">
        <v>373</v>
      </c>
      <c r="F5" s="11" t="s">
        <v>7</v>
      </c>
      <c r="G5" s="11" t="s">
        <v>8</v>
      </c>
    </row>
    <row r="6" spans="1:7" ht="44.1" customHeight="1">
      <c r="A6" s="6" t="s">
        <v>126</v>
      </c>
      <c r="B6" s="9" t="s">
        <v>16</v>
      </c>
      <c r="C6" s="7" t="s">
        <v>11</v>
      </c>
      <c r="D6" s="8" t="s">
        <v>127</v>
      </c>
      <c r="E6" s="7" t="s">
        <v>27</v>
      </c>
      <c r="F6" s="9" t="s">
        <v>21</v>
      </c>
      <c r="G6" s="2" t="s">
        <v>15</v>
      </c>
    </row>
    <row r="7" spans="1:7" ht="44.1" customHeight="1">
      <c r="A7" s="6" t="s">
        <v>126</v>
      </c>
      <c r="B7" s="9" t="s">
        <v>29</v>
      </c>
      <c r="C7" s="7" t="s">
        <v>11</v>
      </c>
      <c r="D7" s="8" t="s">
        <v>128</v>
      </c>
      <c r="E7" s="7" t="s">
        <v>27</v>
      </c>
      <c r="F7" s="9" t="s">
        <v>21</v>
      </c>
      <c r="G7" s="2" t="s">
        <v>15</v>
      </c>
    </row>
    <row r="8" spans="1:7" ht="44.1" customHeight="1">
      <c r="A8" s="6" t="s">
        <v>126</v>
      </c>
      <c r="B8" s="9" t="s">
        <v>16</v>
      </c>
      <c r="C8" s="7" t="s">
        <v>11</v>
      </c>
      <c r="D8" s="8" t="s">
        <v>129</v>
      </c>
      <c r="E8" s="7" t="s">
        <v>27</v>
      </c>
      <c r="F8" s="9" t="s">
        <v>24</v>
      </c>
      <c r="G8" s="2" t="s">
        <v>15</v>
      </c>
    </row>
    <row r="9" spans="1:7" ht="44.1" customHeight="1">
      <c r="A9" s="6" t="s">
        <v>126</v>
      </c>
      <c r="B9" s="9" t="s">
        <v>32</v>
      </c>
      <c r="C9" s="7" t="s">
        <v>11</v>
      </c>
      <c r="D9" s="8" t="s">
        <v>128</v>
      </c>
      <c r="E9" s="7" t="s">
        <v>27</v>
      </c>
      <c r="F9" s="9" t="s">
        <v>24</v>
      </c>
      <c r="G9" s="2" t="s">
        <v>15</v>
      </c>
    </row>
    <row r="10" spans="1:7" ht="44.1" customHeight="1">
      <c r="A10" s="6" t="s">
        <v>126</v>
      </c>
      <c r="B10" s="9" t="s">
        <v>47</v>
      </c>
      <c r="C10" s="7" t="s">
        <v>13</v>
      </c>
      <c r="D10" s="8" t="s">
        <v>130</v>
      </c>
      <c r="E10" s="7" t="s">
        <v>27</v>
      </c>
      <c r="F10" s="9" t="s">
        <v>24</v>
      </c>
      <c r="G10" s="2" t="s">
        <v>15</v>
      </c>
    </row>
    <row r="11" spans="1:7" ht="44.1" customHeight="1">
      <c r="A11" s="6" t="s">
        <v>126</v>
      </c>
      <c r="B11" s="9" t="s">
        <v>32</v>
      </c>
      <c r="C11" s="7" t="s">
        <v>11</v>
      </c>
      <c r="D11" s="8" t="s">
        <v>131</v>
      </c>
      <c r="E11" s="7" t="s">
        <v>27</v>
      </c>
      <c r="F11" s="9" t="s">
        <v>132</v>
      </c>
      <c r="G11" s="2" t="s">
        <v>15</v>
      </c>
    </row>
    <row r="12" spans="1:7" ht="44.1" customHeight="1">
      <c r="A12" s="6" t="s">
        <v>126</v>
      </c>
      <c r="B12" s="9" t="s">
        <v>35</v>
      </c>
      <c r="C12" s="7" t="s">
        <v>11</v>
      </c>
      <c r="D12" s="8" t="s">
        <v>133</v>
      </c>
      <c r="E12" s="7" t="s">
        <v>27</v>
      </c>
      <c r="F12" s="9" t="s">
        <v>132</v>
      </c>
      <c r="G12" s="2" t="s">
        <v>15</v>
      </c>
    </row>
    <row r="13" spans="1:7" ht="44.1" customHeight="1">
      <c r="A13" s="6" t="s">
        <v>126</v>
      </c>
      <c r="B13" s="9" t="s">
        <v>24</v>
      </c>
      <c r="C13" s="7" t="s">
        <v>11</v>
      </c>
      <c r="D13" s="8" t="s">
        <v>134</v>
      </c>
      <c r="E13" s="7" t="s">
        <v>27</v>
      </c>
      <c r="F13" s="9" t="s">
        <v>135</v>
      </c>
      <c r="G13" s="2" t="s">
        <v>15</v>
      </c>
    </row>
    <row r="14" spans="1:7" ht="44.1" customHeight="1">
      <c r="A14" s="6" t="s">
        <v>126</v>
      </c>
      <c r="B14" s="9" t="s">
        <v>38</v>
      </c>
      <c r="C14" s="7" t="s">
        <v>11</v>
      </c>
      <c r="D14" s="8" t="s">
        <v>136</v>
      </c>
      <c r="E14" s="7" t="s">
        <v>27</v>
      </c>
      <c r="F14" s="9" t="s">
        <v>135</v>
      </c>
      <c r="G14" s="2" t="s">
        <v>15</v>
      </c>
    </row>
    <row r="15" spans="1:7" ht="44.1" customHeight="1">
      <c r="A15" s="6" t="s">
        <v>126</v>
      </c>
      <c r="B15" s="9" t="s">
        <v>19</v>
      </c>
      <c r="C15" s="7" t="s">
        <v>11</v>
      </c>
      <c r="D15" s="8" t="s">
        <v>137</v>
      </c>
      <c r="E15" s="7" t="s">
        <v>27</v>
      </c>
      <c r="F15" s="9" t="s">
        <v>138</v>
      </c>
      <c r="G15" s="2" t="s">
        <v>15</v>
      </c>
    </row>
    <row r="16" spans="1:7" ht="44.1" customHeight="1">
      <c r="A16" s="6" t="s">
        <v>126</v>
      </c>
      <c r="B16" s="9" t="s">
        <v>29</v>
      </c>
      <c r="C16" s="7" t="s">
        <v>11</v>
      </c>
      <c r="D16" s="8" t="s">
        <v>139</v>
      </c>
      <c r="E16" s="7" t="s">
        <v>27</v>
      </c>
      <c r="F16" s="9" t="s">
        <v>138</v>
      </c>
      <c r="G16" s="2" t="s">
        <v>15</v>
      </c>
    </row>
    <row r="17" spans="1:7" ht="44.1" customHeight="1">
      <c r="A17" s="6" t="s">
        <v>126</v>
      </c>
      <c r="B17" s="9" t="s">
        <v>19</v>
      </c>
      <c r="C17" s="7" t="s">
        <v>11</v>
      </c>
      <c r="D17" s="8" t="s">
        <v>42</v>
      </c>
      <c r="E17" s="7" t="s">
        <v>27</v>
      </c>
      <c r="F17" s="9" t="s">
        <v>109</v>
      </c>
      <c r="G17" s="2" t="s">
        <v>15</v>
      </c>
    </row>
    <row r="18" spans="1:7" ht="44.1" customHeight="1">
      <c r="A18" s="6" t="s">
        <v>126</v>
      </c>
      <c r="B18" s="9" t="s">
        <v>32</v>
      </c>
      <c r="C18" s="7" t="s">
        <v>13</v>
      </c>
      <c r="D18" s="8" t="s">
        <v>139</v>
      </c>
      <c r="E18" s="7" t="s">
        <v>27</v>
      </c>
      <c r="F18" s="9" t="s">
        <v>109</v>
      </c>
      <c r="G18" s="2" t="s">
        <v>15</v>
      </c>
    </row>
    <row r="19" spans="1:7" ht="44.1" customHeight="1">
      <c r="A19" s="6" t="s">
        <v>126</v>
      </c>
      <c r="B19" s="9" t="s">
        <v>47</v>
      </c>
      <c r="C19" s="7" t="s">
        <v>13</v>
      </c>
      <c r="D19" s="8" t="s">
        <v>140</v>
      </c>
      <c r="E19" s="7" t="s">
        <v>27</v>
      </c>
      <c r="F19" s="9" t="s">
        <v>109</v>
      </c>
      <c r="G19" s="2" t="s">
        <v>15</v>
      </c>
    </row>
    <row r="20" spans="1:7" ht="44.1" customHeight="1">
      <c r="A20" s="6" t="s">
        <v>126</v>
      </c>
      <c r="B20" s="9" t="s">
        <v>19</v>
      </c>
      <c r="C20" s="7" t="s">
        <v>11</v>
      </c>
      <c r="D20" s="8" t="s">
        <v>44</v>
      </c>
      <c r="E20" s="7" t="s">
        <v>27</v>
      </c>
      <c r="F20" s="9" t="s">
        <v>141</v>
      </c>
      <c r="G20" s="2" t="s">
        <v>15</v>
      </c>
    </row>
    <row r="21" spans="1:7" ht="44.1" customHeight="1">
      <c r="A21" s="6" t="s">
        <v>126</v>
      </c>
      <c r="B21" s="9" t="s">
        <v>35</v>
      </c>
      <c r="C21" s="7" t="s">
        <v>11</v>
      </c>
      <c r="D21" s="8" t="s">
        <v>142</v>
      </c>
      <c r="E21" s="7" t="s">
        <v>27</v>
      </c>
      <c r="F21" s="9" t="s">
        <v>141</v>
      </c>
      <c r="G21" s="2" t="s">
        <v>15</v>
      </c>
    </row>
    <row r="22" spans="1:7" ht="44.1" customHeight="1">
      <c r="A22" s="6" t="s">
        <v>126</v>
      </c>
      <c r="B22" s="9" t="s">
        <v>32</v>
      </c>
      <c r="C22" s="7" t="s">
        <v>11</v>
      </c>
      <c r="D22" s="8" t="s">
        <v>143</v>
      </c>
      <c r="E22" s="7" t="s">
        <v>27</v>
      </c>
      <c r="F22" s="9" t="s">
        <v>144</v>
      </c>
      <c r="G22" s="2" t="s">
        <v>15</v>
      </c>
    </row>
    <row r="23" spans="1:7" ht="44.1" customHeight="1">
      <c r="A23" s="6" t="s">
        <v>126</v>
      </c>
      <c r="B23" s="9" t="s">
        <v>47</v>
      </c>
      <c r="C23" s="7" t="s">
        <v>11</v>
      </c>
      <c r="D23" s="8" t="s">
        <v>145</v>
      </c>
      <c r="E23" s="7" t="s">
        <v>27</v>
      </c>
      <c r="F23" s="9" t="s">
        <v>144</v>
      </c>
      <c r="G23" s="2" t="s">
        <v>15</v>
      </c>
    </row>
    <row r="24" spans="1:7" ht="44.1" customHeight="1">
      <c r="A24" s="6" t="s">
        <v>126</v>
      </c>
      <c r="B24" s="9" t="s">
        <v>14</v>
      </c>
      <c r="C24" s="7" t="s">
        <v>11</v>
      </c>
      <c r="D24" s="8" t="s">
        <v>146</v>
      </c>
      <c r="E24" s="7" t="s">
        <v>27</v>
      </c>
      <c r="F24" s="9" t="s">
        <v>147</v>
      </c>
      <c r="G24" s="2" t="s">
        <v>15</v>
      </c>
    </row>
    <row r="25" spans="1:7" ht="44.1" customHeight="1">
      <c r="A25" s="6" t="s">
        <v>126</v>
      </c>
      <c r="B25" s="9" t="s">
        <v>50</v>
      </c>
      <c r="C25" s="7" t="s">
        <v>11</v>
      </c>
      <c r="D25" s="8" t="s">
        <v>148</v>
      </c>
      <c r="E25" s="7" t="s">
        <v>27</v>
      </c>
      <c r="F25" s="9" t="s">
        <v>147</v>
      </c>
      <c r="G25" s="2" t="s">
        <v>15</v>
      </c>
    </row>
    <row r="26" spans="1:7" ht="44.1" customHeight="1">
      <c r="A26" s="6" t="s">
        <v>126</v>
      </c>
      <c r="B26" s="9" t="s">
        <v>29</v>
      </c>
      <c r="C26" s="7" t="s">
        <v>11</v>
      </c>
      <c r="D26" s="8" t="s">
        <v>146</v>
      </c>
      <c r="E26" s="7" t="s">
        <v>27</v>
      </c>
      <c r="F26" s="9" t="s">
        <v>149</v>
      </c>
      <c r="G26" s="2" t="s">
        <v>15</v>
      </c>
    </row>
    <row r="27" spans="1:7" ht="44.1" customHeight="1">
      <c r="A27" s="6" t="s">
        <v>126</v>
      </c>
      <c r="B27" s="9" t="s">
        <v>50</v>
      </c>
      <c r="C27" s="7" t="s">
        <v>11</v>
      </c>
      <c r="D27" s="8" t="s">
        <v>150</v>
      </c>
      <c r="E27" s="7" t="s">
        <v>27</v>
      </c>
      <c r="F27" s="9" t="s">
        <v>149</v>
      </c>
      <c r="G27" s="2" t="s">
        <v>15</v>
      </c>
    </row>
    <row r="28" spans="1:7" ht="44.1" customHeight="1">
      <c r="A28" s="6" t="s">
        <v>126</v>
      </c>
      <c r="B28" s="9" t="s">
        <v>52</v>
      </c>
      <c r="C28" s="7" t="s">
        <v>11</v>
      </c>
      <c r="D28" s="8" t="s">
        <v>146</v>
      </c>
      <c r="E28" s="7" t="s">
        <v>27</v>
      </c>
      <c r="F28" s="9" t="s">
        <v>151</v>
      </c>
      <c r="G28" s="2" t="s">
        <v>15</v>
      </c>
    </row>
    <row r="29" spans="1:7" ht="44.1" customHeight="1">
      <c r="A29" s="6" t="s">
        <v>126</v>
      </c>
      <c r="B29" s="9" t="s">
        <v>50</v>
      </c>
      <c r="C29" s="7" t="s">
        <v>11</v>
      </c>
      <c r="D29" s="8" t="s">
        <v>152</v>
      </c>
      <c r="E29" s="7" t="s">
        <v>27</v>
      </c>
      <c r="F29" s="9" t="s">
        <v>151</v>
      </c>
      <c r="G29" s="2" t="s">
        <v>15</v>
      </c>
    </row>
    <row r="30" spans="1:7" ht="44.1" customHeight="1">
      <c r="A30" s="6" t="s">
        <v>126</v>
      </c>
      <c r="B30" s="9" t="s">
        <v>53</v>
      </c>
      <c r="C30" s="7" t="s">
        <v>11</v>
      </c>
      <c r="D30" s="8" t="s">
        <v>146</v>
      </c>
      <c r="E30" s="7" t="s">
        <v>27</v>
      </c>
      <c r="F30" s="9" t="s">
        <v>153</v>
      </c>
      <c r="G30" s="2" t="s">
        <v>15</v>
      </c>
    </row>
    <row r="31" spans="1:7" ht="44.1" customHeight="1">
      <c r="A31" s="6" t="s">
        <v>126</v>
      </c>
      <c r="B31" s="9" t="s">
        <v>50</v>
      </c>
      <c r="C31" s="7" t="s">
        <v>11</v>
      </c>
      <c r="D31" s="8" t="s">
        <v>154</v>
      </c>
      <c r="E31" s="7" t="s">
        <v>27</v>
      </c>
      <c r="F31" s="9" t="s">
        <v>153</v>
      </c>
      <c r="G31" s="2" t="s">
        <v>15</v>
      </c>
    </row>
    <row r="32" spans="1:7" ht="44.1" customHeight="1">
      <c r="A32" s="6" t="s">
        <v>126</v>
      </c>
      <c r="B32" s="9" t="s">
        <v>54</v>
      </c>
      <c r="C32" s="7" t="s">
        <v>11</v>
      </c>
      <c r="D32" s="8" t="s">
        <v>146</v>
      </c>
      <c r="E32" s="7" t="s">
        <v>27</v>
      </c>
      <c r="F32" s="9" t="s">
        <v>155</v>
      </c>
      <c r="G32" s="2" t="s">
        <v>15</v>
      </c>
    </row>
    <row r="33" spans="1:7" ht="44.1" customHeight="1">
      <c r="A33" s="6" t="s">
        <v>126</v>
      </c>
      <c r="B33" s="9" t="s">
        <v>50</v>
      </c>
      <c r="C33" s="7" t="s">
        <v>11</v>
      </c>
      <c r="D33" s="8" t="s">
        <v>156</v>
      </c>
      <c r="E33" s="7" t="s">
        <v>27</v>
      </c>
      <c r="F33" s="9" t="s">
        <v>155</v>
      </c>
      <c r="G33" s="2" t="s">
        <v>15</v>
      </c>
    </row>
  </sheetData>
  <mergeCells count="3">
    <mergeCell ref="A1:G1"/>
    <mergeCell ref="A2:G2"/>
    <mergeCell ref="A3:G3"/>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7"/>
  <sheetViews>
    <sheetView workbookViewId="0">
      <pane ySplit="4" topLeftCell="A5" activePane="bottomLeft" state="frozen"/>
      <selection pane="bottomLeft"/>
    </sheetView>
  </sheetViews>
  <sheetFormatPr defaultRowHeight="14.25"/>
  <cols>
    <col min="1" max="1" width="8" customWidth="1"/>
    <col min="2" max="2" width="29" customWidth="1"/>
    <col min="3" max="3" width="33" customWidth="1"/>
    <col min="4" max="4" width="30" customWidth="1"/>
    <col min="5" max="5" width="37" customWidth="1"/>
    <col min="6" max="6" width="58" customWidth="1"/>
    <col min="7" max="7" width="24" customWidth="1"/>
    <col min="8" max="8" width="58" customWidth="1"/>
  </cols>
  <sheetData>
    <row r="1" spans="1:8" ht="35.1" customHeight="1">
      <c r="A1" s="17" t="s">
        <v>165</v>
      </c>
      <c r="B1" s="17"/>
      <c r="C1" s="17"/>
      <c r="D1" s="17"/>
      <c r="E1" s="17"/>
      <c r="F1" s="17"/>
      <c r="G1" s="17"/>
      <c r="H1" s="17"/>
    </row>
    <row r="2" spans="1:8" ht="30" customHeight="1">
      <c r="A2" s="18" t="s">
        <v>166</v>
      </c>
      <c r="B2" s="18"/>
      <c r="C2" s="18"/>
      <c r="D2" s="18"/>
      <c r="E2" s="18"/>
      <c r="F2" s="18"/>
      <c r="G2" s="18"/>
      <c r="H2" s="18"/>
    </row>
    <row r="4" spans="1:8" ht="33.950000000000003" customHeight="1">
      <c r="A4" s="10" t="s">
        <v>167</v>
      </c>
      <c r="B4" s="10" t="s">
        <v>168</v>
      </c>
      <c r="C4" s="10" t="s">
        <v>169</v>
      </c>
      <c r="D4" s="10" t="s">
        <v>170</v>
      </c>
      <c r="E4" s="10" t="s">
        <v>171</v>
      </c>
      <c r="F4" s="10" t="s">
        <v>172</v>
      </c>
      <c r="G4" s="10" t="s">
        <v>173</v>
      </c>
      <c r="H4" s="10" t="s">
        <v>174</v>
      </c>
    </row>
    <row r="5" spans="1:8" ht="42" customHeight="1">
      <c r="A5" s="2">
        <v>1</v>
      </c>
      <c r="B5" s="2" t="s">
        <v>16</v>
      </c>
      <c r="C5" s="2" t="s">
        <v>28</v>
      </c>
      <c r="D5" s="2" t="s">
        <v>29</v>
      </c>
      <c r="E5" s="2" t="s">
        <v>21</v>
      </c>
      <c r="F5" s="2" t="s">
        <v>30</v>
      </c>
      <c r="G5" s="2" t="s">
        <v>175</v>
      </c>
      <c r="H5" s="2" t="s">
        <v>176</v>
      </c>
    </row>
    <row r="6" spans="1:8" ht="42" customHeight="1">
      <c r="A6" s="2">
        <v>2</v>
      </c>
      <c r="B6" s="2" t="s">
        <v>16</v>
      </c>
      <c r="C6" s="2" t="s">
        <v>31</v>
      </c>
      <c r="D6" s="2" t="s">
        <v>32</v>
      </c>
      <c r="E6" s="2" t="s">
        <v>24</v>
      </c>
      <c r="F6" s="2" t="s">
        <v>33</v>
      </c>
      <c r="G6" s="2" t="s">
        <v>175</v>
      </c>
      <c r="H6" s="2" t="s">
        <v>177</v>
      </c>
    </row>
    <row r="7" spans="1:8" ht="42" customHeight="1">
      <c r="A7" s="2">
        <v>3</v>
      </c>
      <c r="B7" s="2" t="s">
        <v>32</v>
      </c>
      <c r="C7" s="2" t="s">
        <v>34</v>
      </c>
      <c r="D7" s="2" t="s">
        <v>35</v>
      </c>
      <c r="E7" s="2" t="s">
        <v>132</v>
      </c>
      <c r="F7" s="2" t="s">
        <v>36</v>
      </c>
      <c r="G7" s="2" t="s">
        <v>178</v>
      </c>
      <c r="H7" s="2" t="s">
        <v>179</v>
      </c>
    </row>
    <row r="8" spans="1:8" ht="42" customHeight="1">
      <c r="A8" s="2">
        <v>4</v>
      </c>
      <c r="B8" s="2" t="s">
        <v>24</v>
      </c>
      <c r="C8" s="2" t="s">
        <v>37</v>
      </c>
      <c r="D8" s="2" t="s">
        <v>38</v>
      </c>
      <c r="E8" s="2" t="s">
        <v>135</v>
      </c>
      <c r="F8" s="2" t="s">
        <v>39</v>
      </c>
      <c r="G8" s="2" t="s">
        <v>178</v>
      </c>
      <c r="H8" s="2" t="s">
        <v>180</v>
      </c>
    </row>
    <row r="9" spans="1:8" ht="42" customHeight="1">
      <c r="A9" s="2">
        <v>5</v>
      </c>
      <c r="B9" s="2" t="s">
        <v>19</v>
      </c>
      <c r="C9" s="2" t="s">
        <v>40</v>
      </c>
      <c r="D9" s="2" t="s">
        <v>29</v>
      </c>
      <c r="E9" s="2" t="s">
        <v>138</v>
      </c>
      <c r="F9" s="2" t="s">
        <v>41</v>
      </c>
      <c r="G9" s="2" t="s">
        <v>181</v>
      </c>
      <c r="H9" s="2" t="s">
        <v>182</v>
      </c>
    </row>
    <row r="10" spans="1:8" ht="42" customHeight="1">
      <c r="A10" s="2">
        <v>6</v>
      </c>
      <c r="B10" s="2" t="s">
        <v>19</v>
      </c>
      <c r="C10" s="2" t="s">
        <v>42</v>
      </c>
      <c r="D10" s="2" t="s">
        <v>32</v>
      </c>
      <c r="E10" s="2" t="s">
        <v>109</v>
      </c>
      <c r="F10" s="2" t="s">
        <v>43</v>
      </c>
      <c r="G10" s="2" t="s">
        <v>181</v>
      </c>
      <c r="H10" s="2" t="s">
        <v>183</v>
      </c>
    </row>
    <row r="11" spans="1:8" ht="42" customHeight="1">
      <c r="A11" s="2">
        <v>7</v>
      </c>
      <c r="B11" s="2" t="s">
        <v>19</v>
      </c>
      <c r="C11" s="2" t="s">
        <v>44</v>
      </c>
      <c r="D11" s="2" t="s">
        <v>35</v>
      </c>
      <c r="E11" s="2" t="s">
        <v>141</v>
      </c>
      <c r="F11" s="2" t="s">
        <v>45</v>
      </c>
      <c r="G11" s="2" t="s">
        <v>184</v>
      </c>
      <c r="H11" s="2" t="s">
        <v>185</v>
      </c>
    </row>
    <row r="12" spans="1:8" ht="42" customHeight="1">
      <c r="A12" s="2">
        <v>8</v>
      </c>
      <c r="B12" s="2" t="s">
        <v>32</v>
      </c>
      <c r="C12" s="2" t="s">
        <v>46</v>
      </c>
      <c r="D12" s="2" t="s">
        <v>47</v>
      </c>
      <c r="E12" s="2" t="s">
        <v>144</v>
      </c>
      <c r="F12" s="2" t="s">
        <v>48</v>
      </c>
      <c r="G12" s="2" t="s">
        <v>186</v>
      </c>
      <c r="H12" s="2" t="s">
        <v>187</v>
      </c>
    </row>
    <row r="13" spans="1:8" ht="42" customHeight="1">
      <c r="A13" s="2">
        <v>9</v>
      </c>
      <c r="B13" s="2" t="s">
        <v>14</v>
      </c>
      <c r="C13" s="2" t="s">
        <v>49</v>
      </c>
      <c r="D13" s="2" t="s">
        <v>50</v>
      </c>
      <c r="E13" s="2" t="s">
        <v>147</v>
      </c>
      <c r="F13" s="2" t="s">
        <v>51</v>
      </c>
      <c r="G13" s="2" t="s">
        <v>188</v>
      </c>
      <c r="H13" s="2" t="s">
        <v>189</v>
      </c>
    </row>
    <row r="14" spans="1:8" ht="42" customHeight="1">
      <c r="A14" s="2">
        <v>10</v>
      </c>
      <c r="B14" s="2" t="s">
        <v>29</v>
      </c>
      <c r="C14" s="2" t="s">
        <v>49</v>
      </c>
      <c r="D14" s="2" t="s">
        <v>50</v>
      </c>
      <c r="E14" s="2" t="s">
        <v>149</v>
      </c>
      <c r="F14" s="2" t="s">
        <v>51</v>
      </c>
      <c r="G14" s="2" t="s">
        <v>188</v>
      </c>
      <c r="H14" s="2" t="s">
        <v>189</v>
      </c>
    </row>
    <row r="15" spans="1:8" ht="42" customHeight="1">
      <c r="A15" s="2">
        <v>11</v>
      </c>
      <c r="B15" s="2" t="s">
        <v>52</v>
      </c>
      <c r="C15" s="2" t="s">
        <v>49</v>
      </c>
      <c r="D15" s="2" t="s">
        <v>50</v>
      </c>
      <c r="E15" s="2" t="s">
        <v>151</v>
      </c>
      <c r="F15" s="2" t="s">
        <v>51</v>
      </c>
      <c r="G15" s="2" t="s">
        <v>188</v>
      </c>
      <c r="H15" s="2" t="s">
        <v>189</v>
      </c>
    </row>
    <row r="16" spans="1:8" ht="42" customHeight="1">
      <c r="A16" s="2">
        <v>12</v>
      </c>
      <c r="B16" s="2" t="s">
        <v>53</v>
      </c>
      <c r="C16" s="2" t="s">
        <v>49</v>
      </c>
      <c r="D16" s="2" t="s">
        <v>50</v>
      </c>
      <c r="E16" s="2" t="s">
        <v>153</v>
      </c>
      <c r="F16" s="2" t="s">
        <v>51</v>
      </c>
      <c r="G16" s="2" t="s">
        <v>188</v>
      </c>
      <c r="H16" s="2" t="s">
        <v>189</v>
      </c>
    </row>
    <row r="17" spans="1:8" ht="42" customHeight="1">
      <c r="A17" s="2">
        <v>13</v>
      </c>
      <c r="B17" s="2" t="s">
        <v>54</v>
      </c>
      <c r="C17" s="2" t="s">
        <v>49</v>
      </c>
      <c r="D17" s="2" t="s">
        <v>50</v>
      </c>
      <c r="E17" s="2" t="s">
        <v>155</v>
      </c>
      <c r="F17" s="2" t="s">
        <v>51</v>
      </c>
      <c r="G17" s="2" t="s">
        <v>188</v>
      </c>
      <c r="H17" s="2" t="s">
        <v>189</v>
      </c>
    </row>
  </sheetData>
  <mergeCells count="2">
    <mergeCell ref="A1:H1"/>
    <mergeCell ref="A2:H2"/>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58"/>
  <sheetViews>
    <sheetView workbookViewId="0">
      <pane ySplit="4" topLeftCell="A5" activePane="bottomLeft" state="frozen"/>
      <selection pane="bottomLeft"/>
    </sheetView>
  </sheetViews>
  <sheetFormatPr defaultRowHeight="14.25"/>
  <cols>
    <col min="1" max="1" width="37" customWidth="1"/>
    <col min="2" max="2" width="31" customWidth="1"/>
    <col min="3" max="3" width="60" customWidth="1"/>
    <col min="4" max="4" width="28" customWidth="1"/>
  </cols>
  <sheetData>
    <row r="1" spans="1:4" ht="35.1" customHeight="1">
      <c r="A1" s="17" t="s">
        <v>190</v>
      </c>
      <c r="B1" s="17"/>
      <c r="C1" s="17"/>
      <c r="D1" s="17"/>
    </row>
    <row r="2" spans="1:4" ht="30" customHeight="1">
      <c r="A2" s="18" t="s">
        <v>191</v>
      </c>
      <c r="B2" s="18"/>
      <c r="C2" s="18"/>
      <c r="D2" s="18"/>
    </row>
    <row r="4" spans="1:4" ht="33.950000000000003" customHeight="1">
      <c r="A4" s="10" t="s">
        <v>192</v>
      </c>
      <c r="B4" s="10" t="s">
        <v>193</v>
      </c>
      <c r="C4" s="10" t="s">
        <v>194</v>
      </c>
      <c r="D4" s="10" t="s">
        <v>173</v>
      </c>
    </row>
    <row r="5" spans="1:4" ht="42" customHeight="1">
      <c r="A5" s="2" t="s">
        <v>155</v>
      </c>
      <c r="B5" s="2" t="s">
        <v>195</v>
      </c>
      <c r="C5" s="2" t="s">
        <v>196</v>
      </c>
      <c r="D5" s="2" t="s">
        <v>197</v>
      </c>
    </row>
    <row r="6" spans="1:4" ht="42" customHeight="1">
      <c r="A6" s="2" t="s">
        <v>115</v>
      </c>
      <c r="B6" s="2" t="s">
        <v>198</v>
      </c>
      <c r="C6" s="2" t="s">
        <v>196</v>
      </c>
      <c r="D6" s="2" t="s">
        <v>199</v>
      </c>
    </row>
    <row r="7" spans="1:4" ht="42" customHeight="1">
      <c r="A7" s="2" t="s">
        <v>16</v>
      </c>
      <c r="B7" s="2" t="s">
        <v>200</v>
      </c>
      <c r="C7" s="2" t="s">
        <v>201</v>
      </c>
      <c r="D7" s="2" t="s">
        <v>202</v>
      </c>
    </row>
    <row r="8" spans="1:4" ht="42" customHeight="1">
      <c r="A8" s="2" t="s">
        <v>19</v>
      </c>
      <c r="B8" s="2" t="s">
        <v>203</v>
      </c>
      <c r="C8" s="2" t="s">
        <v>204</v>
      </c>
      <c r="D8" s="2" t="s">
        <v>205</v>
      </c>
    </row>
    <row r="9" spans="1:4" ht="42" customHeight="1">
      <c r="A9" s="2" t="s">
        <v>21</v>
      </c>
      <c r="B9" s="2" t="s">
        <v>200</v>
      </c>
      <c r="C9" s="2" t="s">
        <v>206</v>
      </c>
      <c r="D9" s="2" t="s">
        <v>202</v>
      </c>
    </row>
    <row r="10" spans="1:4" ht="42" customHeight="1">
      <c r="A10" s="2" t="s">
        <v>23</v>
      </c>
      <c r="B10" s="2" t="s">
        <v>200</v>
      </c>
      <c r="C10" s="2" t="s">
        <v>207</v>
      </c>
      <c r="D10" s="2" t="s">
        <v>199</v>
      </c>
    </row>
    <row r="11" spans="1:4" ht="42" customHeight="1">
      <c r="A11" s="2" t="s">
        <v>135</v>
      </c>
      <c r="B11" s="2" t="s">
        <v>200</v>
      </c>
      <c r="C11" s="2" t="s">
        <v>208</v>
      </c>
      <c r="D11" s="2" t="s">
        <v>205</v>
      </c>
    </row>
    <row r="12" spans="1:4" ht="42" customHeight="1">
      <c r="A12" s="2" t="s">
        <v>24</v>
      </c>
      <c r="B12" s="2" t="s">
        <v>200</v>
      </c>
      <c r="C12" s="2" t="s">
        <v>209</v>
      </c>
      <c r="D12" s="2" t="s">
        <v>202</v>
      </c>
    </row>
    <row r="13" spans="1:4" ht="42" customHeight="1">
      <c r="A13" s="2" t="s">
        <v>25</v>
      </c>
      <c r="B13" s="2" t="s">
        <v>200</v>
      </c>
      <c r="C13" s="2" t="s">
        <v>210</v>
      </c>
      <c r="D13" s="2" t="s">
        <v>199</v>
      </c>
    </row>
    <row r="14" spans="1:4" ht="42" customHeight="1">
      <c r="A14" s="2" t="s">
        <v>73</v>
      </c>
      <c r="B14" s="2" t="s">
        <v>200</v>
      </c>
      <c r="C14" s="2" t="s">
        <v>211</v>
      </c>
      <c r="D14" s="2" t="s">
        <v>202</v>
      </c>
    </row>
    <row r="15" spans="1:4" ht="42" customHeight="1">
      <c r="A15" s="2" t="s">
        <v>176</v>
      </c>
      <c r="B15" s="2" t="s">
        <v>200</v>
      </c>
      <c r="C15" s="2" t="s">
        <v>196</v>
      </c>
      <c r="D15" s="2" t="s">
        <v>202</v>
      </c>
    </row>
    <row r="16" spans="1:4" ht="42" customHeight="1">
      <c r="A16" s="2" t="s">
        <v>65</v>
      </c>
      <c r="B16" s="2" t="s">
        <v>212</v>
      </c>
      <c r="C16" s="2" t="s">
        <v>213</v>
      </c>
      <c r="D16" s="2" t="s">
        <v>202</v>
      </c>
    </row>
    <row r="17" spans="1:4" ht="42" customHeight="1">
      <c r="A17" s="2" t="s">
        <v>54</v>
      </c>
      <c r="B17" s="2" t="s">
        <v>198</v>
      </c>
      <c r="C17" s="2" t="s">
        <v>214</v>
      </c>
      <c r="D17" s="2" t="s">
        <v>202</v>
      </c>
    </row>
    <row r="18" spans="1:4" ht="42" customHeight="1">
      <c r="A18" s="2" t="s">
        <v>182</v>
      </c>
      <c r="B18" s="2" t="s">
        <v>200</v>
      </c>
      <c r="C18" s="2" t="s">
        <v>196</v>
      </c>
      <c r="D18" s="2" t="s">
        <v>202</v>
      </c>
    </row>
    <row r="19" spans="1:4" ht="42" customHeight="1">
      <c r="A19" s="2" t="s">
        <v>187</v>
      </c>
      <c r="B19" s="2" t="s">
        <v>212</v>
      </c>
      <c r="C19" s="2" t="s">
        <v>196</v>
      </c>
      <c r="D19" s="2" t="s">
        <v>202</v>
      </c>
    </row>
    <row r="20" spans="1:4" ht="42" customHeight="1">
      <c r="A20" s="2" t="s">
        <v>185</v>
      </c>
      <c r="B20" s="2" t="s">
        <v>212</v>
      </c>
      <c r="C20" s="2" t="s">
        <v>196</v>
      </c>
      <c r="D20" s="2" t="s">
        <v>202</v>
      </c>
    </row>
    <row r="21" spans="1:4" ht="42" customHeight="1">
      <c r="A21" s="2" t="s">
        <v>189</v>
      </c>
      <c r="B21" s="2" t="s">
        <v>212</v>
      </c>
      <c r="C21" s="2" t="s">
        <v>196</v>
      </c>
      <c r="D21" s="2" t="s">
        <v>202</v>
      </c>
    </row>
    <row r="22" spans="1:4" ht="42" customHeight="1">
      <c r="A22" s="2" t="s">
        <v>183</v>
      </c>
      <c r="B22" s="2" t="s">
        <v>212</v>
      </c>
      <c r="C22" s="2" t="s">
        <v>196</v>
      </c>
      <c r="D22" s="2" t="s">
        <v>202</v>
      </c>
    </row>
    <row r="23" spans="1:4" ht="42" customHeight="1">
      <c r="A23" s="2" t="s">
        <v>177</v>
      </c>
      <c r="B23" s="2" t="s">
        <v>200</v>
      </c>
      <c r="C23" s="2" t="s">
        <v>196</v>
      </c>
      <c r="D23" s="2" t="s">
        <v>202</v>
      </c>
    </row>
    <row r="24" spans="1:4" ht="42" customHeight="1">
      <c r="A24" s="2" t="s">
        <v>71</v>
      </c>
      <c r="B24" s="2" t="s">
        <v>215</v>
      </c>
      <c r="C24" s="2" t="s">
        <v>216</v>
      </c>
      <c r="D24" s="2" t="s">
        <v>202</v>
      </c>
    </row>
    <row r="25" spans="1:4" ht="42" customHeight="1">
      <c r="A25" s="2" t="s">
        <v>14</v>
      </c>
      <c r="B25" s="2" t="s">
        <v>217</v>
      </c>
      <c r="C25" s="2" t="s">
        <v>218</v>
      </c>
      <c r="D25" s="2" t="s">
        <v>202</v>
      </c>
    </row>
    <row r="26" spans="1:4" ht="42" customHeight="1">
      <c r="A26" s="2" t="s">
        <v>69</v>
      </c>
      <c r="B26" s="2" t="s">
        <v>217</v>
      </c>
      <c r="C26" s="2" t="s">
        <v>219</v>
      </c>
      <c r="D26" s="2" t="s">
        <v>202</v>
      </c>
    </row>
    <row r="27" spans="1:4" ht="42" customHeight="1">
      <c r="A27" s="2" t="s">
        <v>147</v>
      </c>
      <c r="B27" s="2" t="s">
        <v>217</v>
      </c>
      <c r="C27" s="2" t="s">
        <v>196</v>
      </c>
      <c r="D27" s="2" t="s">
        <v>197</v>
      </c>
    </row>
    <row r="28" spans="1:4" ht="42" customHeight="1">
      <c r="A28" s="2" t="s">
        <v>111</v>
      </c>
      <c r="B28" s="2" t="s">
        <v>217</v>
      </c>
      <c r="C28" s="2" t="s">
        <v>196</v>
      </c>
      <c r="D28" s="2" t="s">
        <v>199</v>
      </c>
    </row>
    <row r="29" spans="1:4" ht="42" customHeight="1">
      <c r="A29" s="2" t="s">
        <v>179</v>
      </c>
      <c r="B29" s="2" t="s">
        <v>212</v>
      </c>
      <c r="C29" s="2" t="s">
        <v>196</v>
      </c>
      <c r="D29" s="2" t="s">
        <v>202</v>
      </c>
    </row>
    <row r="30" spans="1:4" ht="42" customHeight="1">
      <c r="A30" s="2" t="s">
        <v>53</v>
      </c>
      <c r="B30" s="2" t="s">
        <v>212</v>
      </c>
      <c r="C30" s="2" t="s">
        <v>220</v>
      </c>
      <c r="D30" s="2" t="s">
        <v>202</v>
      </c>
    </row>
    <row r="31" spans="1:4" ht="42" customHeight="1">
      <c r="A31" s="2" t="s">
        <v>50</v>
      </c>
      <c r="B31" s="2" t="s">
        <v>195</v>
      </c>
      <c r="C31" s="2" t="s">
        <v>221</v>
      </c>
      <c r="D31" s="2" t="s">
        <v>197</v>
      </c>
    </row>
    <row r="32" spans="1:4" ht="42" customHeight="1">
      <c r="A32" s="2" t="s">
        <v>63</v>
      </c>
      <c r="B32" s="2" t="s">
        <v>212</v>
      </c>
      <c r="C32" s="2" t="s">
        <v>222</v>
      </c>
      <c r="D32" s="2" t="s">
        <v>202</v>
      </c>
    </row>
    <row r="33" spans="1:4" ht="42" customHeight="1">
      <c r="A33" s="2" t="s">
        <v>60</v>
      </c>
      <c r="B33" s="2" t="s">
        <v>212</v>
      </c>
      <c r="C33" s="2" t="s">
        <v>223</v>
      </c>
      <c r="D33" s="2" t="s">
        <v>202</v>
      </c>
    </row>
    <row r="34" spans="1:4" ht="42" customHeight="1">
      <c r="A34" s="2" t="s">
        <v>153</v>
      </c>
      <c r="B34" s="2" t="s">
        <v>195</v>
      </c>
      <c r="C34" s="2" t="s">
        <v>196</v>
      </c>
      <c r="D34" s="2" t="s">
        <v>197</v>
      </c>
    </row>
    <row r="35" spans="1:4" ht="42" customHeight="1">
      <c r="A35" s="2" t="s">
        <v>114</v>
      </c>
      <c r="B35" s="2" t="s">
        <v>198</v>
      </c>
      <c r="C35" s="2" t="s">
        <v>196</v>
      </c>
      <c r="D35" s="2" t="s">
        <v>199</v>
      </c>
    </row>
    <row r="36" spans="1:4" ht="42" customHeight="1">
      <c r="A36" s="2" t="s">
        <v>141</v>
      </c>
      <c r="B36" s="2" t="s">
        <v>203</v>
      </c>
      <c r="C36" s="2" t="s">
        <v>224</v>
      </c>
      <c r="D36" s="2" t="s">
        <v>184</v>
      </c>
    </row>
    <row r="37" spans="1:4" ht="42" customHeight="1">
      <c r="A37" s="2" t="s">
        <v>138</v>
      </c>
      <c r="B37" s="2" t="s">
        <v>203</v>
      </c>
      <c r="C37" s="2" t="s">
        <v>225</v>
      </c>
      <c r="D37" s="2" t="s">
        <v>205</v>
      </c>
    </row>
    <row r="38" spans="1:4" ht="42" customHeight="1">
      <c r="A38" s="2" t="s">
        <v>109</v>
      </c>
      <c r="B38" s="2" t="s">
        <v>203</v>
      </c>
      <c r="C38" s="2" t="s">
        <v>226</v>
      </c>
      <c r="D38" s="2" t="s">
        <v>205</v>
      </c>
    </row>
    <row r="39" spans="1:4" ht="42" customHeight="1">
      <c r="A39" s="2" t="s">
        <v>180</v>
      </c>
      <c r="B39" s="2" t="s">
        <v>212</v>
      </c>
      <c r="C39" s="2" t="s">
        <v>196</v>
      </c>
      <c r="D39" s="2" t="s">
        <v>202</v>
      </c>
    </row>
    <row r="40" spans="1:4" ht="42" customHeight="1">
      <c r="A40" s="2" t="s">
        <v>104</v>
      </c>
      <c r="B40" s="2" t="s">
        <v>215</v>
      </c>
      <c r="C40" s="2" t="s">
        <v>227</v>
      </c>
      <c r="D40" s="2" t="s">
        <v>202</v>
      </c>
    </row>
    <row r="41" spans="1:4" ht="42" customHeight="1">
      <c r="A41" s="2" t="s">
        <v>35</v>
      </c>
      <c r="B41" s="2" t="s">
        <v>228</v>
      </c>
      <c r="C41" s="2" t="s">
        <v>229</v>
      </c>
      <c r="D41" s="2" t="s">
        <v>205</v>
      </c>
    </row>
    <row r="42" spans="1:4" ht="42" customHeight="1">
      <c r="A42" s="2" t="s">
        <v>82</v>
      </c>
      <c r="B42" s="2" t="s">
        <v>228</v>
      </c>
      <c r="C42" s="2" t="s">
        <v>230</v>
      </c>
      <c r="D42" s="2" t="s">
        <v>205</v>
      </c>
    </row>
    <row r="43" spans="1:4" ht="42" customHeight="1">
      <c r="A43" s="2" t="s">
        <v>18</v>
      </c>
      <c r="B43" s="2" t="s">
        <v>200</v>
      </c>
      <c r="C43" s="2" t="s">
        <v>231</v>
      </c>
      <c r="D43" s="2" t="s">
        <v>202</v>
      </c>
    </row>
    <row r="44" spans="1:4" ht="42" customHeight="1">
      <c r="A44" s="2" t="s">
        <v>29</v>
      </c>
      <c r="B44" s="2" t="s">
        <v>212</v>
      </c>
      <c r="C44" s="2" t="s">
        <v>232</v>
      </c>
      <c r="D44" s="2" t="s">
        <v>202</v>
      </c>
    </row>
    <row r="45" spans="1:4" ht="42" customHeight="1">
      <c r="A45" s="2" t="s">
        <v>80</v>
      </c>
      <c r="B45" s="2" t="s">
        <v>228</v>
      </c>
      <c r="C45" s="2" t="s">
        <v>233</v>
      </c>
      <c r="D45" s="2" t="s">
        <v>202</v>
      </c>
    </row>
    <row r="46" spans="1:4" ht="42" customHeight="1">
      <c r="A46" s="2" t="s">
        <v>149</v>
      </c>
      <c r="B46" s="2" t="s">
        <v>195</v>
      </c>
      <c r="C46" s="2" t="s">
        <v>196</v>
      </c>
      <c r="D46" s="2" t="s">
        <v>197</v>
      </c>
    </row>
    <row r="47" spans="1:4" ht="42" customHeight="1">
      <c r="A47" s="2" t="s">
        <v>112</v>
      </c>
      <c r="B47" s="2" t="s">
        <v>198</v>
      </c>
      <c r="C47" s="2" t="s">
        <v>196</v>
      </c>
      <c r="D47" s="2" t="s">
        <v>199</v>
      </c>
    </row>
    <row r="48" spans="1:4" ht="42" customHeight="1">
      <c r="A48" s="2" t="s">
        <v>58</v>
      </c>
      <c r="B48" s="2" t="s">
        <v>203</v>
      </c>
      <c r="C48" s="2" t="s">
        <v>234</v>
      </c>
      <c r="D48" s="2" t="s">
        <v>205</v>
      </c>
    </row>
    <row r="49" spans="1:4" ht="42" customHeight="1">
      <c r="A49" s="2" t="s">
        <v>52</v>
      </c>
      <c r="B49" s="2" t="s">
        <v>212</v>
      </c>
      <c r="C49" s="2" t="s">
        <v>235</v>
      </c>
      <c r="D49" s="2" t="s">
        <v>202</v>
      </c>
    </row>
    <row r="50" spans="1:4" ht="42" customHeight="1">
      <c r="A50" s="2" t="s">
        <v>38</v>
      </c>
      <c r="B50" s="2" t="s">
        <v>212</v>
      </c>
      <c r="C50" s="2" t="s">
        <v>236</v>
      </c>
      <c r="D50" s="2" t="s">
        <v>205</v>
      </c>
    </row>
    <row r="51" spans="1:4" ht="42" customHeight="1">
      <c r="A51" s="2" t="s">
        <v>92</v>
      </c>
      <c r="B51" s="2" t="s">
        <v>217</v>
      </c>
      <c r="C51" s="2" t="s">
        <v>237</v>
      </c>
      <c r="D51" s="2" t="s">
        <v>202</v>
      </c>
    </row>
    <row r="52" spans="1:4" ht="42" customHeight="1">
      <c r="A52" s="2" t="s">
        <v>151</v>
      </c>
      <c r="B52" s="2" t="s">
        <v>195</v>
      </c>
      <c r="C52" s="2" t="s">
        <v>196</v>
      </c>
      <c r="D52" s="2" t="s">
        <v>197</v>
      </c>
    </row>
    <row r="53" spans="1:4" ht="42" customHeight="1">
      <c r="A53" s="2" t="s">
        <v>47</v>
      </c>
      <c r="B53" s="2" t="s">
        <v>212</v>
      </c>
      <c r="C53" s="2" t="s">
        <v>238</v>
      </c>
      <c r="D53" s="2" t="s">
        <v>205</v>
      </c>
    </row>
    <row r="54" spans="1:4" ht="42" customHeight="1">
      <c r="A54" s="2" t="s">
        <v>113</v>
      </c>
      <c r="B54" s="2" t="s">
        <v>198</v>
      </c>
      <c r="C54" s="2" t="s">
        <v>196</v>
      </c>
      <c r="D54" s="2" t="s">
        <v>199</v>
      </c>
    </row>
    <row r="55" spans="1:4" ht="42" customHeight="1">
      <c r="A55" s="2" t="s">
        <v>32</v>
      </c>
      <c r="B55" s="2" t="s">
        <v>228</v>
      </c>
      <c r="C55" s="2" t="s">
        <v>239</v>
      </c>
      <c r="D55" s="2" t="s">
        <v>202</v>
      </c>
    </row>
    <row r="56" spans="1:4" ht="42" customHeight="1">
      <c r="A56" s="2" t="s">
        <v>144</v>
      </c>
      <c r="B56" s="2" t="s">
        <v>228</v>
      </c>
      <c r="C56" s="2" t="s">
        <v>240</v>
      </c>
      <c r="D56" s="2" t="s">
        <v>184</v>
      </c>
    </row>
    <row r="57" spans="1:4" ht="42" customHeight="1">
      <c r="A57" s="2" t="s">
        <v>132</v>
      </c>
      <c r="B57" s="2" t="s">
        <v>228</v>
      </c>
      <c r="C57" s="2" t="s">
        <v>241</v>
      </c>
      <c r="D57" s="2" t="s">
        <v>205</v>
      </c>
    </row>
    <row r="58" spans="1:4" ht="42" customHeight="1">
      <c r="A58" s="2" t="s">
        <v>10</v>
      </c>
      <c r="B58" s="2" t="s">
        <v>217</v>
      </c>
      <c r="C58" s="2" t="s">
        <v>242</v>
      </c>
      <c r="D58" s="2" t="s">
        <v>202</v>
      </c>
    </row>
  </sheetData>
  <mergeCells count="2">
    <mergeCell ref="A1:D1"/>
    <mergeCell ref="A2:D2"/>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28"/>
  <sheetViews>
    <sheetView workbookViewId="0">
      <pane ySplit="4" topLeftCell="A5" activePane="bottomLeft" state="frozen"/>
      <selection pane="bottomLeft"/>
    </sheetView>
  </sheetViews>
  <sheetFormatPr defaultRowHeight="14.25"/>
  <cols>
    <col min="1" max="1" width="13" customWidth="1"/>
    <col min="2" max="2" width="31" customWidth="1"/>
    <col min="3" max="3" width="112" customWidth="1"/>
    <col min="4" max="4" width="25" customWidth="1"/>
  </cols>
  <sheetData>
    <row r="1" spans="1:4" ht="35.1" customHeight="1">
      <c r="A1" s="17" t="s">
        <v>243</v>
      </c>
      <c r="B1" s="17"/>
      <c r="C1" s="17"/>
      <c r="D1" s="17"/>
    </row>
    <row r="2" spans="1:4" ht="30" customHeight="1">
      <c r="A2" s="18" t="s">
        <v>244</v>
      </c>
      <c r="B2" s="18"/>
      <c r="C2" s="18"/>
      <c r="D2" s="18"/>
    </row>
    <row r="4" spans="1:4" ht="33.950000000000003" customHeight="1">
      <c r="A4" s="10" t="s">
        <v>245</v>
      </c>
      <c r="B4" s="10" t="s">
        <v>246</v>
      </c>
      <c r="C4" s="10" t="s">
        <v>247</v>
      </c>
      <c r="D4" s="10" t="s">
        <v>248</v>
      </c>
    </row>
    <row r="5" spans="1:4" ht="42" customHeight="1">
      <c r="A5" s="2" t="s">
        <v>249</v>
      </c>
      <c r="B5" s="2" t="s">
        <v>250</v>
      </c>
      <c r="C5" s="2" t="s">
        <v>251</v>
      </c>
      <c r="D5" s="2" t="s">
        <v>252</v>
      </c>
    </row>
    <row r="6" spans="1:4" ht="42" customHeight="1">
      <c r="A6" s="2" t="s">
        <v>253</v>
      </c>
      <c r="B6" s="2" t="s">
        <v>254</v>
      </c>
      <c r="C6" s="2" t="s">
        <v>255</v>
      </c>
      <c r="D6" s="2" t="s">
        <v>252</v>
      </c>
    </row>
    <row r="7" spans="1:4" ht="42" customHeight="1">
      <c r="A7" s="2" t="s">
        <v>256</v>
      </c>
      <c r="B7" s="2" t="s">
        <v>257</v>
      </c>
      <c r="C7" s="2" t="s">
        <v>258</v>
      </c>
      <c r="D7" s="2" t="s">
        <v>259</v>
      </c>
    </row>
    <row r="8" spans="1:4" ht="42" customHeight="1">
      <c r="A8" s="2" t="s">
        <v>260</v>
      </c>
      <c r="B8" s="2" t="s">
        <v>261</v>
      </c>
      <c r="C8" s="2" t="s">
        <v>262</v>
      </c>
      <c r="D8" s="2" t="s">
        <v>263</v>
      </c>
    </row>
    <row r="9" spans="1:4" ht="42" customHeight="1">
      <c r="A9" s="2" t="s">
        <v>264</v>
      </c>
      <c r="B9" s="2" t="s">
        <v>265</v>
      </c>
      <c r="C9" s="2" t="s">
        <v>266</v>
      </c>
      <c r="D9" s="2" t="s">
        <v>263</v>
      </c>
    </row>
    <row r="10" spans="1:4" ht="42" customHeight="1">
      <c r="A10" s="2" t="s">
        <v>267</v>
      </c>
      <c r="B10" s="2" t="s">
        <v>268</v>
      </c>
      <c r="C10" s="2" t="s">
        <v>269</v>
      </c>
      <c r="D10" s="2" t="s">
        <v>263</v>
      </c>
    </row>
    <row r="11" spans="1:4" ht="42" customHeight="1">
      <c r="A11" s="2" t="s">
        <v>270</v>
      </c>
      <c r="B11" s="2" t="s">
        <v>271</v>
      </c>
      <c r="C11" s="2" t="s">
        <v>272</v>
      </c>
      <c r="D11" s="2" t="s">
        <v>263</v>
      </c>
    </row>
    <row r="12" spans="1:4" ht="42" customHeight="1">
      <c r="A12" s="2" t="s">
        <v>273</v>
      </c>
      <c r="B12" s="2" t="s">
        <v>274</v>
      </c>
      <c r="C12" s="2" t="s">
        <v>275</v>
      </c>
      <c r="D12" s="2" t="s">
        <v>263</v>
      </c>
    </row>
    <row r="13" spans="1:4" ht="42" customHeight="1">
      <c r="A13" s="2" t="s">
        <v>276</v>
      </c>
      <c r="B13" s="2" t="s">
        <v>277</v>
      </c>
      <c r="C13" s="2" t="s">
        <v>278</v>
      </c>
      <c r="D13" s="2" t="s">
        <v>263</v>
      </c>
    </row>
    <row r="14" spans="1:4" ht="42" customHeight="1">
      <c r="A14" s="2" t="s">
        <v>279</v>
      </c>
      <c r="B14" s="2" t="s">
        <v>280</v>
      </c>
      <c r="C14" s="2" t="s">
        <v>281</v>
      </c>
      <c r="D14" s="2" t="s">
        <v>282</v>
      </c>
    </row>
    <row r="15" spans="1:4" ht="42" customHeight="1">
      <c r="A15" s="2" t="s">
        <v>283</v>
      </c>
      <c r="B15" s="2" t="s">
        <v>284</v>
      </c>
      <c r="C15" s="2" t="s">
        <v>285</v>
      </c>
      <c r="D15" s="2" t="s">
        <v>286</v>
      </c>
    </row>
    <row r="16" spans="1:4" ht="42" customHeight="1">
      <c r="A16" s="2" t="s">
        <v>287</v>
      </c>
      <c r="B16" s="2" t="s">
        <v>288</v>
      </c>
      <c r="C16" s="2" t="s">
        <v>289</v>
      </c>
      <c r="D16" s="2" t="s">
        <v>184</v>
      </c>
    </row>
    <row r="17" spans="1:4" ht="42" customHeight="1">
      <c r="A17" s="2" t="s">
        <v>290</v>
      </c>
      <c r="B17" s="2" t="s">
        <v>291</v>
      </c>
      <c r="C17" s="2" t="s">
        <v>292</v>
      </c>
      <c r="D17" s="2" t="s">
        <v>282</v>
      </c>
    </row>
    <row r="18" spans="1:4" ht="42" customHeight="1">
      <c r="A18" s="2" t="s">
        <v>293</v>
      </c>
      <c r="B18" s="2" t="s">
        <v>294</v>
      </c>
      <c r="C18" s="2" t="s">
        <v>295</v>
      </c>
      <c r="D18" s="2" t="s">
        <v>263</v>
      </c>
    </row>
    <row r="19" spans="1:4" ht="42" customHeight="1">
      <c r="A19" s="2" t="s">
        <v>296</v>
      </c>
      <c r="B19" s="2" t="s">
        <v>297</v>
      </c>
      <c r="C19" s="2" t="s">
        <v>298</v>
      </c>
      <c r="D19" s="2" t="s">
        <v>184</v>
      </c>
    </row>
    <row r="20" spans="1:4" ht="42" customHeight="1">
      <c r="A20" s="2" t="s">
        <v>299</v>
      </c>
      <c r="B20" s="2" t="s">
        <v>300</v>
      </c>
      <c r="C20" s="2" t="s">
        <v>301</v>
      </c>
      <c r="D20" s="2" t="s">
        <v>302</v>
      </c>
    </row>
    <row r="21" spans="1:4" ht="42" customHeight="1">
      <c r="A21" s="2" t="s">
        <v>303</v>
      </c>
      <c r="B21" s="2" t="s">
        <v>304</v>
      </c>
      <c r="C21" s="2" t="s">
        <v>305</v>
      </c>
      <c r="D21" s="2" t="s">
        <v>302</v>
      </c>
    </row>
    <row r="22" spans="1:4" ht="42" customHeight="1">
      <c r="A22" s="2" t="s">
        <v>306</v>
      </c>
      <c r="B22" s="2" t="s">
        <v>307</v>
      </c>
      <c r="C22" s="2" t="s">
        <v>308</v>
      </c>
      <c r="D22" s="2" t="s">
        <v>186</v>
      </c>
    </row>
    <row r="23" spans="1:4" ht="42" customHeight="1">
      <c r="A23" s="2" t="s">
        <v>309</v>
      </c>
      <c r="B23" s="2" t="s">
        <v>310</v>
      </c>
      <c r="C23" s="2" t="s">
        <v>311</v>
      </c>
      <c r="D23" s="2" t="s">
        <v>263</v>
      </c>
    </row>
    <row r="24" spans="1:4" ht="42" customHeight="1">
      <c r="A24" s="2" t="s">
        <v>312</v>
      </c>
      <c r="B24" s="2" t="s">
        <v>313</v>
      </c>
      <c r="C24" s="2" t="s">
        <v>314</v>
      </c>
      <c r="D24" s="2" t="s">
        <v>263</v>
      </c>
    </row>
    <row r="25" spans="1:4" ht="42" customHeight="1">
      <c r="A25" s="2" t="s">
        <v>315</v>
      </c>
      <c r="B25" s="2" t="s">
        <v>316</v>
      </c>
      <c r="C25" s="2" t="s">
        <v>317</v>
      </c>
      <c r="D25" s="2" t="s">
        <v>263</v>
      </c>
    </row>
    <row r="26" spans="1:4" ht="42" customHeight="1">
      <c r="A26" s="2" t="s">
        <v>318</v>
      </c>
      <c r="B26" s="2" t="s">
        <v>319</v>
      </c>
      <c r="C26" s="2" t="s">
        <v>320</v>
      </c>
      <c r="D26" s="2" t="s">
        <v>321</v>
      </c>
    </row>
    <row r="27" spans="1:4" ht="42" customHeight="1">
      <c r="A27" s="2" t="s">
        <v>322</v>
      </c>
      <c r="B27" s="2" t="s">
        <v>323</v>
      </c>
      <c r="C27" s="2" t="s">
        <v>324</v>
      </c>
      <c r="D27" s="2" t="s">
        <v>259</v>
      </c>
    </row>
    <row r="28" spans="1:4" ht="42" customHeight="1">
      <c r="A28" s="2" t="s">
        <v>325</v>
      </c>
      <c r="B28" s="2" t="s">
        <v>326</v>
      </c>
      <c r="C28" s="2" t="s">
        <v>327</v>
      </c>
      <c r="D28" s="2" t="s">
        <v>263</v>
      </c>
    </row>
  </sheetData>
  <mergeCells count="2">
    <mergeCell ref="A1:D1"/>
    <mergeCell ref="A2:D2"/>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3"/>
  <sheetViews>
    <sheetView workbookViewId="0">
      <pane ySplit="5" topLeftCell="A6" activePane="bottomLeft" state="frozen"/>
      <selection pane="bottomLeft"/>
    </sheetView>
  </sheetViews>
  <sheetFormatPr defaultRowHeight="14.25"/>
  <cols>
    <col min="1" max="1" width="20" customWidth="1"/>
    <col min="2" max="2" width="31" customWidth="1"/>
    <col min="3" max="3" width="19" customWidth="1"/>
    <col min="4" max="4" width="38" customWidth="1"/>
    <col min="5" max="5" width="19" customWidth="1"/>
    <col min="6" max="6" width="33" customWidth="1"/>
    <col min="7" max="7" width="57" customWidth="1"/>
  </cols>
  <sheetData>
    <row r="1" spans="1:7" ht="35.1" customHeight="1">
      <c r="A1" s="14" t="s">
        <v>328</v>
      </c>
      <c r="B1" s="14"/>
      <c r="C1" s="14"/>
      <c r="D1" s="14"/>
      <c r="E1" s="14"/>
      <c r="F1" s="14"/>
      <c r="G1" s="14"/>
    </row>
    <row r="2" spans="1:7" ht="29.1" customHeight="1">
      <c r="A2" s="15" t="s">
        <v>329</v>
      </c>
      <c r="B2" s="15"/>
      <c r="C2" s="15"/>
      <c r="D2" s="15"/>
      <c r="E2" s="15"/>
      <c r="F2" s="15"/>
      <c r="G2" s="15"/>
    </row>
    <row r="3" spans="1:7" ht="24.95" customHeight="1">
      <c r="A3" s="16" t="s">
        <v>2</v>
      </c>
      <c r="B3" s="16"/>
      <c r="C3" s="16"/>
      <c r="D3" s="16"/>
      <c r="E3" s="16"/>
      <c r="F3" s="16"/>
      <c r="G3" s="16"/>
    </row>
    <row r="5" spans="1:7" ht="36" customHeight="1">
      <c r="A5" s="11" t="s">
        <v>3</v>
      </c>
      <c r="B5" s="11" t="s">
        <v>4</v>
      </c>
      <c r="C5" s="11" t="s">
        <v>5</v>
      </c>
      <c r="D5" s="11" t="s">
        <v>6</v>
      </c>
      <c r="E5" s="11" t="s">
        <v>373</v>
      </c>
      <c r="F5" s="11" t="s">
        <v>7</v>
      </c>
      <c r="G5" s="11" t="s">
        <v>8</v>
      </c>
    </row>
    <row r="6" spans="1:7" ht="44.1" customHeight="1">
      <c r="A6" s="1" t="s">
        <v>330</v>
      </c>
      <c r="B6" s="9" t="s">
        <v>10</v>
      </c>
      <c r="C6" s="7" t="s">
        <v>27</v>
      </c>
      <c r="D6" s="8" t="s">
        <v>331</v>
      </c>
      <c r="E6" s="7" t="s">
        <v>332</v>
      </c>
      <c r="F6" s="9" t="s">
        <v>333</v>
      </c>
      <c r="G6" s="2" t="s">
        <v>334</v>
      </c>
    </row>
    <row r="7" spans="1:7" ht="44.1" customHeight="1">
      <c r="A7" s="1" t="s">
        <v>330</v>
      </c>
      <c r="B7" s="9" t="s">
        <v>333</v>
      </c>
      <c r="C7" s="7" t="s">
        <v>11</v>
      </c>
      <c r="D7" s="8" t="s">
        <v>335</v>
      </c>
      <c r="E7" s="7" t="s">
        <v>27</v>
      </c>
      <c r="F7" s="9" t="s">
        <v>336</v>
      </c>
      <c r="G7" s="2" t="s">
        <v>15</v>
      </c>
    </row>
    <row r="8" spans="1:7" ht="44.1" customHeight="1">
      <c r="A8" s="1" t="s">
        <v>330</v>
      </c>
      <c r="B8" s="9" t="s">
        <v>10</v>
      </c>
      <c r="C8" s="7" t="s">
        <v>11</v>
      </c>
      <c r="D8" s="8" t="s">
        <v>337</v>
      </c>
      <c r="E8" s="7" t="s">
        <v>27</v>
      </c>
      <c r="F8" s="9" t="s">
        <v>336</v>
      </c>
      <c r="G8" s="2" t="s">
        <v>15</v>
      </c>
    </row>
    <row r="9" spans="1:7" ht="44.1" customHeight="1">
      <c r="A9" s="1" t="s">
        <v>330</v>
      </c>
      <c r="B9" s="9" t="s">
        <v>336</v>
      </c>
      <c r="C9" s="7" t="s">
        <v>11</v>
      </c>
      <c r="D9" s="8" t="s">
        <v>338</v>
      </c>
      <c r="E9" s="7" t="s">
        <v>27</v>
      </c>
      <c r="F9" s="9" t="s">
        <v>339</v>
      </c>
      <c r="G9" s="2" t="s">
        <v>15</v>
      </c>
    </row>
    <row r="10" spans="1:7" ht="44.1" customHeight="1">
      <c r="A10" s="1" t="s">
        <v>330</v>
      </c>
      <c r="B10" s="9" t="s">
        <v>14</v>
      </c>
      <c r="C10" s="7" t="s">
        <v>11</v>
      </c>
      <c r="D10" s="8" t="s">
        <v>340</v>
      </c>
      <c r="E10" s="7" t="s">
        <v>27</v>
      </c>
      <c r="F10" s="9" t="s">
        <v>333</v>
      </c>
      <c r="G10" s="2" t="s">
        <v>15</v>
      </c>
    </row>
    <row r="11" spans="1:7" ht="44.1" customHeight="1">
      <c r="A11" s="1" t="s">
        <v>330</v>
      </c>
      <c r="B11" s="9" t="s">
        <v>16</v>
      </c>
      <c r="C11" s="7" t="s">
        <v>13</v>
      </c>
      <c r="D11" s="8" t="s">
        <v>341</v>
      </c>
      <c r="E11" s="7" t="s">
        <v>27</v>
      </c>
      <c r="F11" s="9" t="s">
        <v>333</v>
      </c>
      <c r="G11" s="2" t="s">
        <v>15</v>
      </c>
    </row>
    <row r="12" spans="1:7" ht="44.1" customHeight="1">
      <c r="A12" s="1" t="s">
        <v>330</v>
      </c>
      <c r="B12" s="9" t="s">
        <v>52</v>
      </c>
      <c r="C12" s="7" t="s">
        <v>13</v>
      </c>
      <c r="D12" s="8" t="s">
        <v>342</v>
      </c>
      <c r="E12" s="7" t="s">
        <v>27</v>
      </c>
      <c r="F12" s="9" t="s">
        <v>333</v>
      </c>
      <c r="G12" s="2" t="s">
        <v>15</v>
      </c>
    </row>
    <row r="13" spans="1:7" ht="44.1" customHeight="1">
      <c r="A13" s="1" t="s">
        <v>330</v>
      </c>
      <c r="B13" s="9" t="s">
        <v>53</v>
      </c>
      <c r="C13" s="7" t="s">
        <v>13</v>
      </c>
      <c r="D13" s="8" t="s">
        <v>342</v>
      </c>
      <c r="E13" s="7" t="s">
        <v>27</v>
      </c>
      <c r="F13" s="9" t="s">
        <v>333</v>
      </c>
      <c r="G13" s="2" t="s">
        <v>15</v>
      </c>
    </row>
  </sheetData>
  <mergeCells count="3">
    <mergeCell ref="A1:G1"/>
    <mergeCell ref="A2:G2"/>
    <mergeCell ref="A3:G3"/>
  </mergeCell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3"/>
  <sheetViews>
    <sheetView workbookViewId="0">
      <pane ySplit="3" topLeftCell="A4" activePane="bottomLeft" state="frozen"/>
      <selection pane="bottomLeft"/>
    </sheetView>
  </sheetViews>
  <sheetFormatPr defaultRowHeight="14.25"/>
  <cols>
    <col min="1" max="1" width="35" customWidth="1"/>
    <col min="2" max="2" width="80" customWidth="1"/>
    <col min="3" max="3" width="45" customWidth="1"/>
    <col min="4" max="7" width="16" customWidth="1"/>
  </cols>
  <sheetData>
    <row r="1" spans="1:7" ht="32.1" customHeight="1">
      <c r="A1" s="19" t="s">
        <v>343</v>
      </c>
      <c r="B1" s="19"/>
      <c r="C1" s="19"/>
      <c r="D1" s="19"/>
      <c r="E1" s="19"/>
      <c r="F1" s="19"/>
      <c r="G1" s="19"/>
    </row>
    <row r="2" spans="1:7" ht="32.1" customHeight="1">
      <c r="A2" s="19"/>
      <c r="B2" s="19"/>
      <c r="C2" s="19"/>
      <c r="D2" s="19"/>
      <c r="E2" s="19"/>
      <c r="F2" s="19"/>
      <c r="G2" s="19"/>
    </row>
    <row r="3" spans="1:7" ht="33" customHeight="1">
      <c r="A3" s="20" t="s">
        <v>344</v>
      </c>
      <c r="B3" s="20"/>
      <c r="C3" s="20"/>
      <c r="D3" s="20"/>
      <c r="E3" s="20"/>
      <c r="F3" s="20"/>
      <c r="G3" s="20"/>
    </row>
    <row r="5" spans="1:7" ht="27" customHeight="1">
      <c r="A5" s="12" t="s">
        <v>345</v>
      </c>
      <c r="B5" s="12" t="s">
        <v>346</v>
      </c>
      <c r="C5" s="12" t="s">
        <v>347</v>
      </c>
    </row>
    <row r="6" spans="1:7" ht="32.1" customHeight="1">
      <c r="A6" s="2" t="s">
        <v>9</v>
      </c>
      <c r="B6" s="13">
        <f>COUNTIF('TAT CA QUAN HE'!A6:A106,"1–1")</f>
        <v>5</v>
      </c>
      <c r="C6" s="2" t="s">
        <v>348</v>
      </c>
    </row>
    <row r="7" spans="1:7" ht="32.1" customHeight="1">
      <c r="A7" s="2" t="s">
        <v>26</v>
      </c>
      <c r="B7" s="13">
        <f>COUNTIF('TAT CA QUAN HE'!A6:A106,"N–N")</f>
        <v>13</v>
      </c>
      <c r="C7" s="2" t="s">
        <v>349</v>
      </c>
    </row>
    <row r="8" spans="1:7" ht="32.1" customHeight="1">
      <c r="A8" s="2" t="s">
        <v>350</v>
      </c>
      <c r="B8" s="13">
        <f>COUNTIF('TAT CA QUAN HE'!A6:A106,"1–N")</f>
        <v>55</v>
      </c>
      <c r="C8" s="2" t="s">
        <v>351</v>
      </c>
    </row>
    <row r="9" spans="1:7" ht="32.1" customHeight="1">
      <c r="A9" s="2" t="s">
        <v>126</v>
      </c>
      <c r="B9" s="13">
        <f>COUNTIF('TAT CA QUAN HE'!A6:A106,"1–N sau phân rã")</f>
        <v>28</v>
      </c>
      <c r="C9" s="2" t="s">
        <v>352</v>
      </c>
    </row>
    <row r="10" spans="1:7" ht="32.1" customHeight="1">
      <c r="A10" s="2" t="s">
        <v>353</v>
      </c>
      <c r="B10" s="13">
        <f>SUM(B6:B9)</f>
        <v>101</v>
      </c>
      <c r="C10" s="2" t="s">
        <v>354</v>
      </c>
    </row>
    <row r="11" spans="1:7" ht="32.1" customHeight="1">
      <c r="A11" s="2" t="s">
        <v>355</v>
      </c>
      <c r="B11" s="13">
        <f>COUNTA('DANH MUC BANG'!A5:A200)</f>
        <v>54</v>
      </c>
      <c r="C11" s="2" t="s">
        <v>356</v>
      </c>
    </row>
    <row r="14" spans="1:7" ht="27" customHeight="1">
      <c r="A14" s="21" t="s">
        <v>357</v>
      </c>
      <c r="B14" s="21"/>
      <c r="C14" s="21"/>
      <c r="D14" s="21"/>
      <c r="E14" s="21"/>
      <c r="F14" s="21"/>
      <c r="G14" s="21"/>
    </row>
    <row r="15" spans="1:7" ht="35.1" customHeight="1">
      <c r="A15" s="2" t="s">
        <v>358</v>
      </c>
      <c r="B15" s="2" t="s">
        <v>359</v>
      </c>
    </row>
    <row r="16" spans="1:7" ht="35.1" customHeight="1">
      <c r="A16" s="2" t="s">
        <v>360</v>
      </c>
      <c r="B16" s="2" t="s">
        <v>361</v>
      </c>
    </row>
    <row r="17" spans="1:7" ht="35.1" customHeight="1">
      <c r="A17" s="2" t="s">
        <v>362</v>
      </c>
      <c r="B17" s="2" t="s">
        <v>363</v>
      </c>
    </row>
    <row r="18" spans="1:7" ht="35.1" customHeight="1">
      <c r="A18" s="2" t="s">
        <v>364</v>
      </c>
      <c r="B18" s="2" t="s">
        <v>365</v>
      </c>
    </row>
    <row r="19" spans="1:7" ht="35.1" customHeight="1">
      <c r="A19" s="2" t="s">
        <v>366</v>
      </c>
      <c r="B19" s="2" t="s">
        <v>367</v>
      </c>
    </row>
    <row r="20" spans="1:7" ht="35.1" customHeight="1">
      <c r="A20" s="2" t="s">
        <v>368</v>
      </c>
      <c r="B20" s="2" t="s">
        <v>369</v>
      </c>
    </row>
    <row r="21" spans="1:7" ht="35.1" customHeight="1">
      <c r="A21" s="2" t="s">
        <v>370</v>
      </c>
      <c r="B21" s="2" t="s">
        <v>371</v>
      </c>
    </row>
    <row r="23" spans="1:7" ht="33.950000000000003" customHeight="1">
      <c r="A23" s="22" t="s">
        <v>372</v>
      </c>
      <c r="B23" s="22"/>
      <c r="C23" s="22"/>
      <c r="D23" s="22"/>
      <c r="E23" s="22"/>
      <c r="F23" s="22"/>
      <c r="G23" s="22"/>
    </row>
  </sheetData>
  <mergeCells count="4">
    <mergeCell ref="A1:G2"/>
    <mergeCell ref="A3:G3"/>
    <mergeCell ref="A14:G14"/>
    <mergeCell ref="A23:G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TAT CA QUAN HE</vt:lpstr>
      <vt:lpstr>QUAN HE 1-1</vt:lpstr>
      <vt:lpstr>QUAN HE N-N</vt:lpstr>
      <vt:lpstr>QUAN HE 1-N</vt:lpstr>
      <vt:lpstr>1-N SAU PHAN RA</vt:lpstr>
      <vt:lpstr>BANG TRUNG GIAN</vt:lpstr>
      <vt:lpstr>DANH MUC BANG</vt:lpstr>
      <vt:lpstr>LUU Y THIET KE</vt:lpstr>
      <vt:lpstr>CHAT BACKLOG</vt:lpstr>
      <vt:lpstr>TONG QUAN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CAO Á CHÂU</dc:creator>
  <cp:lastModifiedBy>Cao A Chau</cp:lastModifiedBy>
  <dcterms:created xsi:type="dcterms:W3CDTF">2026-10-10T02:53:11Z</dcterms:created>
  <dcterms:modified xsi:type="dcterms:W3CDTF">2026-10-10T02:53:11Z</dcterms:modified>
</cp:coreProperties>
</file>